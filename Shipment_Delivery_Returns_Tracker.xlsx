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ummary Tables" sheetId="2" state="visible" r:id="rId4"/>
    <sheet name="Tracker" sheetId="3" state="visible" r:id="rId5"/>
    <sheet name="Settings" sheetId="4" state="visible" r:id="rId6"/>
    <sheet name="About" sheetId="5" state="visible" r:id="rId7"/>
  </sheets>
  <definedNames>
    <definedName function="false" hidden="true" localSheetId="2" name="_xlnm._FilterDatabase" vbProcedure="false">Tracker!$A$1:$K$801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<sst xmlns="http://schemas.openxmlformats.org/spreadsheetml/2006/main" count="3437" uniqueCount="885">
  <si>
    <t xml:space="preserve">Shipment Delivery &amp; Returns Dashboard</t>
  </si>
  <si>
    <t xml:space="preserve">Q3 2026 (Jul - Sep)  |  Delivery performance against SLA and returns analysis</t>
  </si>
  <si>
    <t xml:space="preserve">TOTAL SHIPMENTS</t>
  </si>
  <si>
    <t xml:space="preserve">DELIVERED</t>
  </si>
  <si>
    <t xml:space="preserve">ON-TIME DELIVERY</t>
  </si>
  <si>
    <t xml:space="preserve">AVG TAT (DAYS)</t>
  </si>
  <si>
    <t xml:space="preserve">RETURN RATE</t>
  </si>
  <si>
    <t xml:space="preserve">RTO RATE</t>
  </si>
  <si>
    <t xml:space="preserve">On-Time % by Courier</t>
  </si>
  <si>
    <t xml:space="preserve">Return / RTO Reasons</t>
  </si>
  <si>
    <t xml:space="preserve">Shipment Status</t>
  </si>
  <si>
    <t xml:space="preserve">Average TAT by City (Days)</t>
  </si>
  <si>
    <t xml:space="preserve">Shipment Delivery &amp; Returns Report  |  Q3 2026</t>
  </si>
  <si>
    <t xml:space="preserve">Simulated shipment data (800 shipments, 4 couriers). All numbers are live formulas on the Tracker sheet.</t>
  </si>
  <si>
    <t xml:space="preserve">Total Shipments</t>
  </si>
  <si>
    <t xml:space="preserve">Delivered</t>
  </si>
  <si>
    <t xml:space="preserve">In Transit</t>
  </si>
  <si>
    <t xml:space="preserve">Returned</t>
  </si>
  <si>
    <t xml:space="preserve">RTO</t>
  </si>
  <si>
    <t xml:space="preserve">On-Time Delivery %</t>
  </si>
  <si>
    <t xml:space="preserve">Avg TAT (Days)</t>
  </si>
  <si>
    <t xml:space="preserve">Delayed Shipments</t>
  </si>
  <si>
    <t xml:space="preserve">Return Rate</t>
  </si>
  <si>
    <t xml:space="preserve">RTO Rate</t>
  </si>
  <si>
    <t xml:space="preserve">Courier Performance</t>
  </si>
  <si>
    <t xml:space="preserve">Courier</t>
  </si>
  <si>
    <t xml:space="preserve">Shipments</t>
  </si>
  <si>
    <t xml:space="preserve">Delayed</t>
  </si>
  <si>
    <t xml:space="preserve">On-Time %</t>
  </si>
  <si>
    <t xml:space="preserve">Returned + RTO</t>
  </si>
  <si>
    <t xml:space="preserve">Return + RTO %</t>
  </si>
  <si>
    <t xml:space="preserve">Status</t>
  </si>
  <si>
    <t xml:space="preserve">Count</t>
  </si>
  <si>
    <t xml:space="preserve">Courier A</t>
  </si>
  <si>
    <t xml:space="preserve">Courier B</t>
  </si>
  <si>
    <t xml:space="preserve">Courier C</t>
  </si>
  <si>
    <t xml:space="preserve">Courier D</t>
  </si>
  <si>
    <t xml:space="preserve">City-wise Delivery</t>
  </si>
  <si>
    <t xml:space="preserve">Reason</t>
  </si>
  <si>
    <t xml:space="preserve">Share</t>
  </si>
  <si>
    <t xml:space="preserve">City</t>
  </si>
  <si>
    <t xml:space="preserve">Avg TAT</t>
  </si>
  <si>
    <t xml:space="preserve">Delayed %</t>
  </si>
  <si>
    <t xml:space="preserve">Damaged / wrong item</t>
  </si>
  <si>
    <t xml:space="preserve">Delhi</t>
  </si>
  <si>
    <t xml:space="preserve">Customer not available</t>
  </si>
  <si>
    <t xml:space="preserve">Mumbai</t>
  </si>
  <si>
    <t xml:space="preserve">Address issue</t>
  </si>
  <si>
    <t xml:space="preserve">Bengaluru</t>
  </si>
  <si>
    <t xml:space="preserve">Refused at delivery</t>
  </si>
  <si>
    <t xml:space="preserve">Hyderabad</t>
  </si>
  <si>
    <t xml:space="preserve">Changed mind</t>
  </si>
  <si>
    <t xml:space="preserve">Kolkata</t>
  </si>
  <si>
    <t xml:space="preserve">Jaipur</t>
  </si>
  <si>
    <t xml:space="preserve">Lucknow</t>
  </si>
  <si>
    <t xml:space="preserve">Indore</t>
  </si>
  <si>
    <t xml:space="preserve">Patna</t>
  </si>
  <si>
    <t xml:space="preserve">Guwahati</t>
  </si>
  <si>
    <t xml:space="preserve">Order ID</t>
  </si>
  <si>
    <t xml:space="preserve">Ship Date</t>
  </si>
  <si>
    <t xml:space="preserve">Delivery Date</t>
  </si>
  <si>
    <t xml:space="preserve">Return / RTO Reason</t>
  </si>
  <si>
    <t xml:space="preserve">SLA (Days)</t>
  </si>
  <si>
    <t xml:space="preserve">TAT (Days)</t>
  </si>
  <si>
    <t xml:space="preserve">Delivery Flag</t>
  </si>
  <si>
    <t xml:space="preserve">Days Delayed</t>
  </si>
  <si>
    <t xml:space="preserve">SHP50001</t>
  </si>
  <si>
    <t xml:space="preserve">SHP50002</t>
  </si>
  <si>
    <t xml:space="preserve">SHP50003</t>
  </si>
  <si>
    <t xml:space="preserve">SHP50004</t>
  </si>
  <si>
    <t xml:space="preserve">SHP50005</t>
  </si>
  <si>
    <t xml:space="preserve">SHP50006</t>
  </si>
  <si>
    <t xml:space="preserve">SHP50007</t>
  </si>
  <si>
    <t xml:space="preserve">SHP50008</t>
  </si>
  <si>
    <t xml:space="preserve">SHP50009</t>
  </si>
  <si>
    <t xml:space="preserve">SHP50010</t>
  </si>
  <si>
    <t xml:space="preserve">SHP50011</t>
  </si>
  <si>
    <t xml:space="preserve">SHP50012</t>
  </si>
  <si>
    <t xml:space="preserve">SHP50013</t>
  </si>
  <si>
    <t xml:space="preserve">SHP50014</t>
  </si>
  <si>
    <t xml:space="preserve">SHP50015</t>
  </si>
  <si>
    <t xml:space="preserve">SHP50016</t>
  </si>
  <si>
    <t xml:space="preserve">SHP50017</t>
  </si>
  <si>
    <t xml:space="preserve">SHP50018</t>
  </si>
  <si>
    <t xml:space="preserve">SHP50019</t>
  </si>
  <si>
    <t xml:space="preserve">SHP50020</t>
  </si>
  <si>
    <t xml:space="preserve">SHP50021</t>
  </si>
  <si>
    <t xml:space="preserve">SHP50022</t>
  </si>
  <si>
    <t xml:space="preserve">SHP50023</t>
  </si>
  <si>
    <t xml:space="preserve">SHP50024</t>
  </si>
  <si>
    <t xml:space="preserve">SHP50025</t>
  </si>
  <si>
    <t xml:space="preserve">SHP50026</t>
  </si>
  <si>
    <t xml:space="preserve">SHP50027</t>
  </si>
  <si>
    <t xml:space="preserve">SHP50028</t>
  </si>
  <si>
    <t xml:space="preserve">SHP50029</t>
  </si>
  <si>
    <t xml:space="preserve">SHP50030</t>
  </si>
  <si>
    <t xml:space="preserve">SHP50031</t>
  </si>
  <si>
    <t xml:space="preserve">SHP50032</t>
  </si>
  <si>
    <t xml:space="preserve">SHP50033</t>
  </si>
  <si>
    <t xml:space="preserve">SHP50034</t>
  </si>
  <si>
    <t xml:space="preserve">SHP50035</t>
  </si>
  <si>
    <t xml:space="preserve">SHP50036</t>
  </si>
  <si>
    <t xml:space="preserve">SHP50037</t>
  </si>
  <si>
    <t xml:space="preserve">SHP50038</t>
  </si>
  <si>
    <t xml:space="preserve">SHP50039</t>
  </si>
  <si>
    <t xml:space="preserve">SHP50040</t>
  </si>
  <si>
    <t xml:space="preserve">SHP50041</t>
  </si>
  <si>
    <t xml:space="preserve">SHP50042</t>
  </si>
  <si>
    <t xml:space="preserve">SHP50043</t>
  </si>
  <si>
    <t xml:space="preserve">SHP50044</t>
  </si>
  <si>
    <t xml:space="preserve">SHP50045</t>
  </si>
  <si>
    <t xml:space="preserve">SHP50046</t>
  </si>
  <si>
    <t xml:space="preserve">SHP50047</t>
  </si>
  <si>
    <t xml:space="preserve">SHP50048</t>
  </si>
  <si>
    <t xml:space="preserve">SHP50049</t>
  </si>
  <si>
    <t xml:space="preserve">SHP50050</t>
  </si>
  <si>
    <t xml:space="preserve">SHP50051</t>
  </si>
  <si>
    <t xml:space="preserve">SHP50052</t>
  </si>
  <si>
    <t xml:space="preserve">SHP50053</t>
  </si>
  <si>
    <t xml:space="preserve">SHP50054</t>
  </si>
  <si>
    <t xml:space="preserve">SHP50055</t>
  </si>
  <si>
    <t xml:space="preserve">SHP50056</t>
  </si>
  <si>
    <t xml:space="preserve">SHP50057</t>
  </si>
  <si>
    <t xml:space="preserve">SHP50058</t>
  </si>
  <si>
    <t xml:space="preserve">SHP50059</t>
  </si>
  <si>
    <t xml:space="preserve">SHP50060</t>
  </si>
  <si>
    <t xml:space="preserve">SHP50061</t>
  </si>
  <si>
    <t xml:space="preserve">SHP50062</t>
  </si>
  <si>
    <t xml:space="preserve">SHP50063</t>
  </si>
  <si>
    <t xml:space="preserve">SHP50064</t>
  </si>
  <si>
    <t xml:space="preserve">SHP50065</t>
  </si>
  <si>
    <t xml:space="preserve">SHP50066</t>
  </si>
  <si>
    <t xml:space="preserve">SHP50067</t>
  </si>
  <si>
    <t xml:space="preserve">SHP50068</t>
  </si>
  <si>
    <t xml:space="preserve">SHP50069</t>
  </si>
  <si>
    <t xml:space="preserve">SHP50070</t>
  </si>
  <si>
    <t xml:space="preserve">SHP50071</t>
  </si>
  <si>
    <t xml:space="preserve">SHP50072</t>
  </si>
  <si>
    <t xml:space="preserve">SHP50073</t>
  </si>
  <si>
    <t xml:space="preserve">SHP50074</t>
  </si>
  <si>
    <t xml:space="preserve">SHP50075</t>
  </si>
  <si>
    <t xml:space="preserve">SHP50076</t>
  </si>
  <si>
    <t xml:space="preserve">SHP50077</t>
  </si>
  <si>
    <t xml:space="preserve">SHP50078</t>
  </si>
  <si>
    <t xml:space="preserve">SHP50079</t>
  </si>
  <si>
    <t xml:space="preserve">SHP50080</t>
  </si>
  <si>
    <t xml:space="preserve">SHP50081</t>
  </si>
  <si>
    <t xml:space="preserve">SHP50082</t>
  </si>
  <si>
    <t xml:space="preserve">SHP50083</t>
  </si>
  <si>
    <t xml:space="preserve">SHP50084</t>
  </si>
  <si>
    <t xml:space="preserve">SHP50085</t>
  </si>
  <si>
    <t xml:space="preserve">SHP50086</t>
  </si>
  <si>
    <t xml:space="preserve">SHP50087</t>
  </si>
  <si>
    <t xml:space="preserve">SHP50088</t>
  </si>
  <si>
    <t xml:space="preserve">SHP50089</t>
  </si>
  <si>
    <t xml:space="preserve">SHP50090</t>
  </si>
  <si>
    <t xml:space="preserve">SHP50091</t>
  </si>
  <si>
    <t xml:space="preserve">SHP50092</t>
  </si>
  <si>
    <t xml:space="preserve">SHP50093</t>
  </si>
  <si>
    <t xml:space="preserve">SHP50094</t>
  </si>
  <si>
    <t xml:space="preserve">SHP50095</t>
  </si>
  <si>
    <t xml:space="preserve">SHP50096</t>
  </si>
  <si>
    <t xml:space="preserve">SHP50097</t>
  </si>
  <si>
    <t xml:space="preserve">SHP50098</t>
  </si>
  <si>
    <t xml:space="preserve">SHP50099</t>
  </si>
  <si>
    <t xml:space="preserve">SHP50100</t>
  </si>
  <si>
    <t xml:space="preserve">SHP50101</t>
  </si>
  <si>
    <t xml:space="preserve">SHP50102</t>
  </si>
  <si>
    <t xml:space="preserve">SHP50103</t>
  </si>
  <si>
    <t xml:space="preserve">SHP50104</t>
  </si>
  <si>
    <t xml:space="preserve">SHP50105</t>
  </si>
  <si>
    <t xml:space="preserve">SHP50106</t>
  </si>
  <si>
    <t xml:space="preserve">SHP50107</t>
  </si>
  <si>
    <t xml:space="preserve">SHP50108</t>
  </si>
  <si>
    <t xml:space="preserve">SHP50109</t>
  </si>
  <si>
    <t xml:space="preserve">SHP50110</t>
  </si>
  <si>
    <t xml:space="preserve">SHP50111</t>
  </si>
  <si>
    <t xml:space="preserve">SHP50112</t>
  </si>
  <si>
    <t xml:space="preserve">SHP50113</t>
  </si>
  <si>
    <t xml:space="preserve">SHP50114</t>
  </si>
  <si>
    <t xml:space="preserve">SHP50115</t>
  </si>
  <si>
    <t xml:space="preserve">SHP50116</t>
  </si>
  <si>
    <t xml:space="preserve">SHP50117</t>
  </si>
  <si>
    <t xml:space="preserve">SHP50118</t>
  </si>
  <si>
    <t xml:space="preserve">SHP50119</t>
  </si>
  <si>
    <t xml:space="preserve">SHP50120</t>
  </si>
  <si>
    <t xml:space="preserve">SHP50121</t>
  </si>
  <si>
    <t xml:space="preserve">SHP50122</t>
  </si>
  <si>
    <t xml:space="preserve">SHP50123</t>
  </si>
  <si>
    <t xml:space="preserve">SHP50124</t>
  </si>
  <si>
    <t xml:space="preserve">SHP50125</t>
  </si>
  <si>
    <t xml:space="preserve">SHP50126</t>
  </si>
  <si>
    <t xml:space="preserve">SHP50127</t>
  </si>
  <si>
    <t xml:space="preserve">SHP50128</t>
  </si>
  <si>
    <t xml:space="preserve">SHP50129</t>
  </si>
  <si>
    <t xml:space="preserve">SHP50130</t>
  </si>
  <si>
    <t xml:space="preserve">SHP50131</t>
  </si>
  <si>
    <t xml:space="preserve">SHP50132</t>
  </si>
  <si>
    <t xml:space="preserve">SHP50133</t>
  </si>
  <si>
    <t xml:space="preserve">SHP50134</t>
  </si>
  <si>
    <t xml:space="preserve">SHP50135</t>
  </si>
  <si>
    <t xml:space="preserve">SHP50136</t>
  </si>
  <si>
    <t xml:space="preserve">SHP50137</t>
  </si>
  <si>
    <t xml:space="preserve">SHP50138</t>
  </si>
  <si>
    <t xml:space="preserve">SHP50139</t>
  </si>
  <si>
    <t xml:space="preserve">SHP50140</t>
  </si>
  <si>
    <t xml:space="preserve">SHP50141</t>
  </si>
  <si>
    <t xml:space="preserve">SHP50142</t>
  </si>
  <si>
    <t xml:space="preserve">SHP50143</t>
  </si>
  <si>
    <t xml:space="preserve">SHP50144</t>
  </si>
  <si>
    <t xml:space="preserve">SHP50145</t>
  </si>
  <si>
    <t xml:space="preserve">SHP50146</t>
  </si>
  <si>
    <t xml:space="preserve">SHP50147</t>
  </si>
  <si>
    <t xml:space="preserve">SHP50148</t>
  </si>
  <si>
    <t xml:space="preserve">SHP50149</t>
  </si>
  <si>
    <t xml:space="preserve">SHP50150</t>
  </si>
  <si>
    <t xml:space="preserve">SHP50151</t>
  </si>
  <si>
    <t xml:space="preserve">SHP50152</t>
  </si>
  <si>
    <t xml:space="preserve">SHP50153</t>
  </si>
  <si>
    <t xml:space="preserve">SHP50154</t>
  </si>
  <si>
    <t xml:space="preserve">SHP50155</t>
  </si>
  <si>
    <t xml:space="preserve">SHP50156</t>
  </si>
  <si>
    <t xml:space="preserve">SHP50157</t>
  </si>
  <si>
    <t xml:space="preserve">SHP50158</t>
  </si>
  <si>
    <t xml:space="preserve">SHP50159</t>
  </si>
  <si>
    <t xml:space="preserve">SHP50160</t>
  </si>
  <si>
    <t xml:space="preserve">SHP50161</t>
  </si>
  <si>
    <t xml:space="preserve">SHP50162</t>
  </si>
  <si>
    <t xml:space="preserve">SHP50163</t>
  </si>
  <si>
    <t xml:space="preserve">SHP50164</t>
  </si>
  <si>
    <t xml:space="preserve">SHP50165</t>
  </si>
  <si>
    <t xml:space="preserve">SHP50166</t>
  </si>
  <si>
    <t xml:space="preserve">SHP50167</t>
  </si>
  <si>
    <t xml:space="preserve">SHP50168</t>
  </si>
  <si>
    <t xml:space="preserve">SHP50169</t>
  </si>
  <si>
    <t xml:space="preserve">SHP50170</t>
  </si>
  <si>
    <t xml:space="preserve">SHP50171</t>
  </si>
  <si>
    <t xml:space="preserve">SHP50172</t>
  </si>
  <si>
    <t xml:space="preserve">SHP50173</t>
  </si>
  <si>
    <t xml:space="preserve">SHP50174</t>
  </si>
  <si>
    <t xml:space="preserve">SHP50175</t>
  </si>
  <si>
    <t xml:space="preserve">SHP50176</t>
  </si>
  <si>
    <t xml:space="preserve">SHP50177</t>
  </si>
  <si>
    <t xml:space="preserve">SHP50178</t>
  </si>
  <si>
    <t xml:space="preserve">SHP50179</t>
  </si>
  <si>
    <t xml:space="preserve">SHP50180</t>
  </si>
  <si>
    <t xml:space="preserve">SHP50181</t>
  </si>
  <si>
    <t xml:space="preserve">SHP50182</t>
  </si>
  <si>
    <t xml:space="preserve">SHP50183</t>
  </si>
  <si>
    <t xml:space="preserve">SHP50184</t>
  </si>
  <si>
    <t xml:space="preserve">SHP50185</t>
  </si>
  <si>
    <t xml:space="preserve">SHP50186</t>
  </si>
  <si>
    <t xml:space="preserve">SHP50187</t>
  </si>
  <si>
    <t xml:space="preserve">SHP50188</t>
  </si>
  <si>
    <t xml:space="preserve">SHP50189</t>
  </si>
  <si>
    <t xml:space="preserve">SHP50190</t>
  </si>
  <si>
    <t xml:space="preserve">SHP50191</t>
  </si>
  <si>
    <t xml:space="preserve">SHP50192</t>
  </si>
  <si>
    <t xml:space="preserve">SHP50193</t>
  </si>
  <si>
    <t xml:space="preserve">SHP50194</t>
  </si>
  <si>
    <t xml:space="preserve">SHP50195</t>
  </si>
  <si>
    <t xml:space="preserve">SHP50196</t>
  </si>
  <si>
    <t xml:space="preserve">SHP50197</t>
  </si>
  <si>
    <t xml:space="preserve">SHP50198</t>
  </si>
  <si>
    <t xml:space="preserve">SHP50199</t>
  </si>
  <si>
    <t xml:space="preserve">SHP50200</t>
  </si>
  <si>
    <t xml:space="preserve">SHP50201</t>
  </si>
  <si>
    <t xml:space="preserve">SHP50202</t>
  </si>
  <si>
    <t xml:space="preserve">SHP50203</t>
  </si>
  <si>
    <t xml:space="preserve">SHP50204</t>
  </si>
  <si>
    <t xml:space="preserve">SHP50205</t>
  </si>
  <si>
    <t xml:space="preserve">SHP50206</t>
  </si>
  <si>
    <t xml:space="preserve">SHP50207</t>
  </si>
  <si>
    <t xml:space="preserve">SHP50208</t>
  </si>
  <si>
    <t xml:space="preserve">SHP50209</t>
  </si>
  <si>
    <t xml:space="preserve">SHP50210</t>
  </si>
  <si>
    <t xml:space="preserve">SHP50211</t>
  </si>
  <si>
    <t xml:space="preserve">SHP50212</t>
  </si>
  <si>
    <t xml:space="preserve">SHP50213</t>
  </si>
  <si>
    <t xml:space="preserve">SHP50214</t>
  </si>
  <si>
    <t xml:space="preserve">SHP50215</t>
  </si>
  <si>
    <t xml:space="preserve">SHP50216</t>
  </si>
  <si>
    <t xml:space="preserve">SHP50217</t>
  </si>
  <si>
    <t xml:space="preserve">SHP50218</t>
  </si>
  <si>
    <t xml:space="preserve">SHP50219</t>
  </si>
  <si>
    <t xml:space="preserve">SHP50220</t>
  </si>
  <si>
    <t xml:space="preserve">SHP50221</t>
  </si>
  <si>
    <t xml:space="preserve">SHP50222</t>
  </si>
  <si>
    <t xml:space="preserve">SHP50223</t>
  </si>
  <si>
    <t xml:space="preserve">SHP50224</t>
  </si>
  <si>
    <t xml:space="preserve">SHP50225</t>
  </si>
  <si>
    <t xml:space="preserve">SHP50226</t>
  </si>
  <si>
    <t xml:space="preserve">SHP50227</t>
  </si>
  <si>
    <t xml:space="preserve">SHP50228</t>
  </si>
  <si>
    <t xml:space="preserve">SHP50229</t>
  </si>
  <si>
    <t xml:space="preserve">SHP50230</t>
  </si>
  <si>
    <t xml:space="preserve">SHP50231</t>
  </si>
  <si>
    <t xml:space="preserve">SHP50232</t>
  </si>
  <si>
    <t xml:space="preserve">SHP50233</t>
  </si>
  <si>
    <t xml:space="preserve">SHP50234</t>
  </si>
  <si>
    <t xml:space="preserve">SHP50235</t>
  </si>
  <si>
    <t xml:space="preserve">SHP50236</t>
  </si>
  <si>
    <t xml:space="preserve">SHP50237</t>
  </si>
  <si>
    <t xml:space="preserve">SHP50238</t>
  </si>
  <si>
    <t xml:space="preserve">SHP50239</t>
  </si>
  <si>
    <t xml:space="preserve">SHP50240</t>
  </si>
  <si>
    <t xml:space="preserve">SHP50241</t>
  </si>
  <si>
    <t xml:space="preserve">SHP50242</t>
  </si>
  <si>
    <t xml:space="preserve">SHP50243</t>
  </si>
  <si>
    <t xml:space="preserve">SHP50244</t>
  </si>
  <si>
    <t xml:space="preserve">SHP50245</t>
  </si>
  <si>
    <t xml:space="preserve">SHP50246</t>
  </si>
  <si>
    <t xml:space="preserve">SHP50247</t>
  </si>
  <si>
    <t xml:space="preserve">SHP50248</t>
  </si>
  <si>
    <t xml:space="preserve">SHP50249</t>
  </si>
  <si>
    <t xml:space="preserve">SHP50250</t>
  </si>
  <si>
    <t xml:space="preserve">SHP50251</t>
  </si>
  <si>
    <t xml:space="preserve">SHP50252</t>
  </si>
  <si>
    <t xml:space="preserve">SHP50253</t>
  </si>
  <si>
    <t xml:space="preserve">SHP50254</t>
  </si>
  <si>
    <t xml:space="preserve">SHP50255</t>
  </si>
  <si>
    <t xml:space="preserve">SHP50256</t>
  </si>
  <si>
    <t xml:space="preserve">SHP50257</t>
  </si>
  <si>
    <t xml:space="preserve">SHP50258</t>
  </si>
  <si>
    <t xml:space="preserve">SHP50259</t>
  </si>
  <si>
    <t xml:space="preserve">SHP50260</t>
  </si>
  <si>
    <t xml:space="preserve">SHP50261</t>
  </si>
  <si>
    <t xml:space="preserve">SHP50262</t>
  </si>
  <si>
    <t xml:space="preserve">SHP50263</t>
  </si>
  <si>
    <t xml:space="preserve">SHP50264</t>
  </si>
  <si>
    <t xml:space="preserve">SHP50265</t>
  </si>
  <si>
    <t xml:space="preserve">SHP50266</t>
  </si>
  <si>
    <t xml:space="preserve">SHP50267</t>
  </si>
  <si>
    <t xml:space="preserve">SHP50268</t>
  </si>
  <si>
    <t xml:space="preserve">SHP50269</t>
  </si>
  <si>
    <t xml:space="preserve">SHP50270</t>
  </si>
  <si>
    <t xml:space="preserve">SHP50271</t>
  </si>
  <si>
    <t xml:space="preserve">SHP50272</t>
  </si>
  <si>
    <t xml:space="preserve">SHP50273</t>
  </si>
  <si>
    <t xml:space="preserve">SHP50274</t>
  </si>
  <si>
    <t xml:space="preserve">SHP50275</t>
  </si>
  <si>
    <t xml:space="preserve">SHP50276</t>
  </si>
  <si>
    <t xml:space="preserve">SHP50277</t>
  </si>
  <si>
    <t xml:space="preserve">SHP50278</t>
  </si>
  <si>
    <t xml:space="preserve">SHP50279</t>
  </si>
  <si>
    <t xml:space="preserve">SHP50280</t>
  </si>
  <si>
    <t xml:space="preserve">SHP50281</t>
  </si>
  <si>
    <t xml:space="preserve">SHP50282</t>
  </si>
  <si>
    <t xml:space="preserve">SHP50283</t>
  </si>
  <si>
    <t xml:space="preserve">SHP50284</t>
  </si>
  <si>
    <t xml:space="preserve">SHP50285</t>
  </si>
  <si>
    <t xml:space="preserve">SHP50286</t>
  </si>
  <si>
    <t xml:space="preserve">SHP50287</t>
  </si>
  <si>
    <t xml:space="preserve">SHP50288</t>
  </si>
  <si>
    <t xml:space="preserve">SHP50289</t>
  </si>
  <si>
    <t xml:space="preserve">SHP50290</t>
  </si>
  <si>
    <t xml:space="preserve">SHP50291</t>
  </si>
  <si>
    <t xml:space="preserve">SHP50292</t>
  </si>
  <si>
    <t xml:space="preserve">SHP50293</t>
  </si>
  <si>
    <t xml:space="preserve">SHP50294</t>
  </si>
  <si>
    <t xml:space="preserve">SHP50295</t>
  </si>
  <si>
    <t xml:space="preserve">SHP50296</t>
  </si>
  <si>
    <t xml:space="preserve">SHP50297</t>
  </si>
  <si>
    <t xml:space="preserve">SHP50298</t>
  </si>
  <si>
    <t xml:space="preserve">SHP50299</t>
  </si>
  <si>
    <t xml:space="preserve">SHP50300</t>
  </si>
  <si>
    <t xml:space="preserve">SHP50301</t>
  </si>
  <si>
    <t xml:space="preserve">SHP50302</t>
  </si>
  <si>
    <t xml:space="preserve">SHP50303</t>
  </si>
  <si>
    <t xml:space="preserve">SHP50304</t>
  </si>
  <si>
    <t xml:space="preserve">SHP50305</t>
  </si>
  <si>
    <t xml:space="preserve">SHP50306</t>
  </si>
  <si>
    <t xml:space="preserve">SHP50307</t>
  </si>
  <si>
    <t xml:space="preserve">SHP50308</t>
  </si>
  <si>
    <t xml:space="preserve">SHP50309</t>
  </si>
  <si>
    <t xml:space="preserve">SHP50310</t>
  </si>
  <si>
    <t xml:space="preserve">SHP50311</t>
  </si>
  <si>
    <t xml:space="preserve">SHP50312</t>
  </si>
  <si>
    <t xml:space="preserve">SHP50313</t>
  </si>
  <si>
    <t xml:space="preserve">SHP50314</t>
  </si>
  <si>
    <t xml:space="preserve">SHP50315</t>
  </si>
  <si>
    <t xml:space="preserve">SHP50316</t>
  </si>
  <si>
    <t xml:space="preserve">SHP50317</t>
  </si>
  <si>
    <t xml:space="preserve">SHP50318</t>
  </si>
  <si>
    <t xml:space="preserve">SHP50319</t>
  </si>
  <si>
    <t xml:space="preserve">SHP50320</t>
  </si>
  <si>
    <t xml:space="preserve">SHP50321</t>
  </si>
  <si>
    <t xml:space="preserve">SHP50322</t>
  </si>
  <si>
    <t xml:space="preserve">SHP50323</t>
  </si>
  <si>
    <t xml:space="preserve">SHP50324</t>
  </si>
  <si>
    <t xml:space="preserve">SHP50325</t>
  </si>
  <si>
    <t xml:space="preserve">SHP50326</t>
  </si>
  <si>
    <t xml:space="preserve">SHP50327</t>
  </si>
  <si>
    <t xml:space="preserve">SHP50328</t>
  </si>
  <si>
    <t xml:space="preserve">SHP50329</t>
  </si>
  <si>
    <t xml:space="preserve">SHP50330</t>
  </si>
  <si>
    <t xml:space="preserve">SHP50331</t>
  </si>
  <si>
    <t xml:space="preserve">SHP50332</t>
  </si>
  <si>
    <t xml:space="preserve">SHP50333</t>
  </si>
  <si>
    <t xml:space="preserve">SHP50334</t>
  </si>
  <si>
    <t xml:space="preserve">SHP50335</t>
  </si>
  <si>
    <t xml:space="preserve">SHP50336</t>
  </si>
  <si>
    <t xml:space="preserve">SHP50337</t>
  </si>
  <si>
    <t xml:space="preserve">SHP50338</t>
  </si>
  <si>
    <t xml:space="preserve">SHP50339</t>
  </si>
  <si>
    <t xml:space="preserve">SHP50340</t>
  </si>
  <si>
    <t xml:space="preserve">SHP50341</t>
  </si>
  <si>
    <t xml:space="preserve">SHP50342</t>
  </si>
  <si>
    <t xml:space="preserve">SHP50343</t>
  </si>
  <si>
    <t xml:space="preserve">SHP50344</t>
  </si>
  <si>
    <t xml:space="preserve">SHP50345</t>
  </si>
  <si>
    <t xml:space="preserve">SHP50346</t>
  </si>
  <si>
    <t xml:space="preserve">SHP50347</t>
  </si>
  <si>
    <t xml:space="preserve">SHP50348</t>
  </si>
  <si>
    <t xml:space="preserve">SHP50349</t>
  </si>
  <si>
    <t xml:space="preserve">SHP50350</t>
  </si>
  <si>
    <t xml:space="preserve">SHP50351</t>
  </si>
  <si>
    <t xml:space="preserve">SHP50352</t>
  </si>
  <si>
    <t xml:space="preserve">SHP50353</t>
  </si>
  <si>
    <t xml:space="preserve">SHP50354</t>
  </si>
  <si>
    <t xml:space="preserve">SHP50355</t>
  </si>
  <si>
    <t xml:space="preserve">SHP50356</t>
  </si>
  <si>
    <t xml:space="preserve">SHP50357</t>
  </si>
  <si>
    <t xml:space="preserve">SHP50358</t>
  </si>
  <si>
    <t xml:space="preserve">SHP50359</t>
  </si>
  <si>
    <t xml:space="preserve">SHP50360</t>
  </si>
  <si>
    <t xml:space="preserve">SHP50361</t>
  </si>
  <si>
    <t xml:space="preserve">SHP50362</t>
  </si>
  <si>
    <t xml:space="preserve">SHP50363</t>
  </si>
  <si>
    <t xml:space="preserve">SHP50364</t>
  </si>
  <si>
    <t xml:space="preserve">SHP50365</t>
  </si>
  <si>
    <t xml:space="preserve">SHP50366</t>
  </si>
  <si>
    <t xml:space="preserve">SHP50367</t>
  </si>
  <si>
    <t xml:space="preserve">SHP50368</t>
  </si>
  <si>
    <t xml:space="preserve">SHP50369</t>
  </si>
  <si>
    <t xml:space="preserve">SHP50370</t>
  </si>
  <si>
    <t xml:space="preserve">SHP50371</t>
  </si>
  <si>
    <t xml:space="preserve">SHP50372</t>
  </si>
  <si>
    <t xml:space="preserve">SHP50373</t>
  </si>
  <si>
    <t xml:space="preserve">SHP50374</t>
  </si>
  <si>
    <t xml:space="preserve">SHP50375</t>
  </si>
  <si>
    <t xml:space="preserve">SHP50376</t>
  </si>
  <si>
    <t xml:space="preserve">SHP50377</t>
  </si>
  <si>
    <t xml:space="preserve">SHP50378</t>
  </si>
  <si>
    <t xml:space="preserve">SHP50379</t>
  </si>
  <si>
    <t xml:space="preserve">SHP50380</t>
  </si>
  <si>
    <t xml:space="preserve">SHP50381</t>
  </si>
  <si>
    <t xml:space="preserve">SHP50382</t>
  </si>
  <si>
    <t xml:space="preserve">SHP50383</t>
  </si>
  <si>
    <t xml:space="preserve">SHP50384</t>
  </si>
  <si>
    <t xml:space="preserve">SHP50385</t>
  </si>
  <si>
    <t xml:space="preserve">SHP50386</t>
  </si>
  <si>
    <t xml:space="preserve">SHP50387</t>
  </si>
  <si>
    <t xml:space="preserve">SHP50388</t>
  </si>
  <si>
    <t xml:space="preserve">SHP50389</t>
  </si>
  <si>
    <t xml:space="preserve">SHP50390</t>
  </si>
  <si>
    <t xml:space="preserve">SHP50391</t>
  </si>
  <si>
    <t xml:space="preserve">SHP50392</t>
  </si>
  <si>
    <t xml:space="preserve">SHP50393</t>
  </si>
  <si>
    <t xml:space="preserve">SHP50394</t>
  </si>
  <si>
    <t xml:space="preserve">SHP50395</t>
  </si>
  <si>
    <t xml:space="preserve">SHP50396</t>
  </si>
  <si>
    <t xml:space="preserve">SHP50397</t>
  </si>
  <si>
    <t xml:space="preserve">SHP50398</t>
  </si>
  <si>
    <t xml:space="preserve">SHP50399</t>
  </si>
  <si>
    <t xml:space="preserve">SHP50400</t>
  </si>
  <si>
    <t xml:space="preserve">SHP50401</t>
  </si>
  <si>
    <t xml:space="preserve">SHP50402</t>
  </si>
  <si>
    <t xml:space="preserve">SHP50403</t>
  </si>
  <si>
    <t xml:space="preserve">SHP50404</t>
  </si>
  <si>
    <t xml:space="preserve">SHP50405</t>
  </si>
  <si>
    <t xml:space="preserve">SHP50406</t>
  </si>
  <si>
    <t xml:space="preserve">SHP50407</t>
  </si>
  <si>
    <t xml:space="preserve">SHP50408</t>
  </si>
  <si>
    <t xml:space="preserve">SHP50409</t>
  </si>
  <si>
    <t xml:space="preserve">SHP50410</t>
  </si>
  <si>
    <t xml:space="preserve">SHP50411</t>
  </si>
  <si>
    <t xml:space="preserve">SHP50412</t>
  </si>
  <si>
    <t xml:space="preserve">SHP50413</t>
  </si>
  <si>
    <t xml:space="preserve">SHP50414</t>
  </si>
  <si>
    <t xml:space="preserve">SHP50415</t>
  </si>
  <si>
    <t xml:space="preserve">SHP50416</t>
  </si>
  <si>
    <t xml:space="preserve">SHP50417</t>
  </si>
  <si>
    <t xml:space="preserve">SHP50418</t>
  </si>
  <si>
    <t xml:space="preserve">SHP50419</t>
  </si>
  <si>
    <t xml:space="preserve">SHP50420</t>
  </si>
  <si>
    <t xml:space="preserve">SHP50421</t>
  </si>
  <si>
    <t xml:space="preserve">SHP50422</t>
  </si>
  <si>
    <t xml:space="preserve">SHP50423</t>
  </si>
  <si>
    <t xml:space="preserve">SHP50424</t>
  </si>
  <si>
    <t xml:space="preserve">SHP50425</t>
  </si>
  <si>
    <t xml:space="preserve">SHP50426</t>
  </si>
  <si>
    <t xml:space="preserve">SHP50427</t>
  </si>
  <si>
    <t xml:space="preserve">SHP50428</t>
  </si>
  <si>
    <t xml:space="preserve">SHP50429</t>
  </si>
  <si>
    <t xml:space="preserve">SHP50430</t>
  </si>
  <si>
    <t xml:space="preserve">SHP50431</t>
  </si>
  <si>
    <t xml:space="preserve">SHP50432</t>
  </si>
  <si>
    <t xml:space="preserve">SHP50433</t>
  </si>
  <si>
    <t xml:space="preserve">SHP50434</t>
  </si>
  <si>
    <t xml:space="preserve">SHP50435</t>
  </si>
  <si>
    <t xml:space="preserve">SHP50436</t>
  </si>
  <si>
    <t xml:space="preserve">SHP50437</t>
  </si>
  <si>
    <t xml:space="preserve">SHP50438</t>
  </si>
  <si>
    <t xml:space="preserve">SHP50439</t>
  </si>
  <si>
    <t xml:space="preserve">SHP50440</t>
  </si>
  <si>
    <t xml:space="preserve">SHP50441</t>
  </si>
  <si>
    <t xml:space="preserve">SHP50442</t>
  </si>
  <si>
    <t xml:space="preserve">SHP50443</t>
  </si>
  <si>
    <t xml:space="preserve">SHP50444</t>
  </si>
  <si>
    <t xml:space="preserve">SHP50445</t>
  </si>
  <si>
    <t xml:space="preserve">SHP50446</t>
  </si>
  <si>
    <t xml:space="preserve">SHP50447</t>
  </si>
  <si>
    <t xml:space="preserve">SHP50448</t>
  </si>
  <si>
    <t xml:space="preserve">SHP50449</t>
  </si>
  <si>
    <t xml:space="preserve">SHP50450</t>
  </si>
  <si>
    <t xml:space="preserve">SHP50451</t>
  </si>
  <si>
    <t xml:space="preserve">SHP50452</t>
  </si>
  <si>
    <t xml:space="preserve">SHP50453</t>
  </si>
  <si>
    <t xml:space="preserve">SHP50454</t>
  </si>
  <si>
    <t xml:space="preserve">SHP50455</t>
  </si>
  <si>
    <t xml:space="preserve">SHP50456</t>
  </si>
  <si>
    <t xml:space="preserve">SHP50457</t>
  </si>
  <si>
    <t xml:space="preserve">SHP50458</t>
  </si>
  <si>
    <t xml:space="preserve">SHP50459</t>
  </si>
  <si>
    <t xml:space="preserve">SHP50460</t>
  </si>
  <si>
    <t xml:space="preserve">SHP50461</t>
  </si>
  <si>
    <t xml:space="preserve">SHP50462</t>
  </si>
  <si>
    <t xml:space="preserve">SHP50463</t>
  </si>
  <si>
    <t xml:space="preserve">SHP50464</t>
  </si>
  <si>
    <t xml:space="preserve">SHP50465</t>
  </si>
  <si>
    <t xml:space="preserve">SHP50466</t>
  </si>
  <si>
    <t xml:space="preserve">SHP50467</t>
  </si>
  <si>
    <t xml:space="preserve">SHP50468</t>
  </si>
  <si>
    <t xml:space="preserve">SHP50469</t>
  </si>
  <si>
    <t xml:space="preserve">SHP50470</t>
  </si>
  <si>
    <t xml:space="preserve">SHP50471</t>
  </si>
  <si>
    <t xml:space="preserve">SHP50472</t>
  </si>
  <si>
    <t xml:space="preserve">SHP50473</t>
  </si>
  <si>
    <t xml:space="preserve">SHP50474</t>
  </si>
  <si>
    <t xml:space="preserve">SHP50475</t>
  </si>
  <si>
    <t xml:space="preserve">SHP50476</t>
  </si>
  <si>
    <t xml:space="preserve">SHP50477</t>
  </si>
  <si>
    <t xml:space="preserve">SHP50478</t>
  </si>
  <si>
    <t xml:space="preserve">SHP50479</t>
  </si>
  <si>
    <t xml:space="preserve">SHP50480</t>
  </si>
  <si>
    <t xml:space="preserve">SHP50481</t>
  </si>
  <si>
    <t xml:space="preserve">SHP50482</t>
  </si>
  <si>
    <t xml:space="preserve">SHP50483</t>
  </si>
  <si>
    <t xml:space="preserve">SHP50484</t>
  </si>
  <si>
    <t xml:space="preserve">SHP50485</t>
  </si>
  <si>
    <t xml:space="preserve">SHP50486</t>
  </si>
  <si>
    <t xml:space="preserve">SHP50487</t>
  </si>
  <si>
    <t xml:space="preserve">SHP50488</t>
  </si>
  <si>
    <t xml:space="preserve">SHP50489</t>
  </si>
  <si>
    <t xml:space="preserve">SHP50490</t>
  </si>
  <si>
    <t xml:space="preserve">SHP50491</t>
  </si>
  <si>
    <t xml:space="preserve">SHP50492</t>
  </si>
  <si>
    <t xml:space="preserve">SHP50493</t>
  </si>
  <si>
    <t xml:space="preserve">SHP50494</t>
  </si>
  <si>
    <t xml:space="preserve">SHP50495</t>
  </si>
  <si>
    <t xml:space="preserve">SHP50496</t>
  </si>
  <si>
    <t xml:space="preserve">SHP50497</t>
  </si>
  <si>
    <t xml:space="preserve">SHP50498</t>
  </si>
  <si>
    <t xml:space="preserve">SHP50499</t>
  </si>
  <si>
    <t xml:space="preserve">SHP50500</t>
  </si>
  <si>
    <t xml:space="preserve">SHP50501</t>
  </si>
  <si>
    <t xml:space="preserve">SHP50502</t>
  </si>
  <si>
    <t xml:space="preserve">SHP50503</t>
  </si>
  <si>
    <t xml:space="preserve">SHP50504</t>
  </si>
  <si>
    <t xml:space="preserve">SHP50505</t>
  </si>
  <si>
    <t xml:space="preserve">SHP50506</t>
  </si>
  <si>
    <t xml:space="preserve">SHP50507</t>
  </si>
  <si>
    <t xml:space="preserve">SHP50508</t>
  </si>
  <si>
    <t xml:space="preserve">SHP50509</t>
  </si>
  <si>
    <t xml:space="preserve">SHP50510</t>
  </si>
  <si>
    <t xml:space="preserve">SHP50511</t>
  </si>
  <si>
    <t xml:space="preserve">SHP50512</t>
  </si>
  <si>
    <t xml:space="preserve">SHP50513</t>
  </si>
  <si>
    <t xml:space="preserve">SHP50514</t>
  </si>
  <si>
    <t xml:space="preserve">SHP50515</t>
  </si>
  <si>
    <t xml:space="preserve">SHP50516</t>
  </si>
  <si>
    <t xml:space="preserve">SHP50517</t>
  </si>
  <si>
    <t xml:space="preserve">SHP50518</t>
  </si>
  <si>
    <t xml:space="preserve">SHP50519</t>
  </si>
  <si>
    <t xml:space="preserve">SHP50520</t>
  </si>
  <si>
    <t xml:space="preserve">SHP50521</t>
  </si>
  <si>
    <t xml:space="preserve">SHP50522</t>
  </si>
  <si>
    <t xml:space="preserve">SHP50523</t>
  </si>
  <si>
    <t xml:space="preserve">SHP50524</t>
  </si>
  <si>
    <t xml:space="preserve">SHP50525</t>
  </si>
  <si>
    <t xml:space="preserve">SHP50526</t>
  </si>
  <si>
    <t xml:space="preserve">SHP50527</t>
  </si>
  <si>
    <t xml:space="preserve">SHP50528</t>
  </si>
  <si>
    <t xml:space="preserve">SHP50529</t>
  </si>
  <si>
    <t xml:space="preserve">SHP50530</t>
  </si>
  <si>
    <t xml:space="preserve">SHP50531</t>
  </si>
  <si>
    <t xml:space="preserve">SHP50532</t>
  </si>
  <si>
    <t xml:space="preserve">SHP50533</t>
  </si>
  <si>
    <t xml:space="preserve">SHP50534</t>
  </si>
  <si>
    <t xml:space="preserve">SHP50535</t>
  </si>
  <si>
    <t xml:space="preserve">SHP50536</t>
  </si>
  <si>
    <t xml:space="preserve">SHP50537</t>
  </si>
  <si>
    <t xml:space="preserve">SHP50538</t>
  </si>
  <si>
    <t xml:space="preserve">SHP50539</t>
  </si>
  <si>
    <t xml:space="preserve">SHP50540</t>
  </si>
  <si>
    <t xml:space="preserve">SHP50541</t>
  </si>
  <si>
    <t xml:space="preserve">SHP50542</t>
  </si>
  <si>
    <t xml:space="preserve">SHP50543</t>
  </si>
  <si>
    <t xml:space="preserve">SHP50544</t>
  </si>
  <si>
    <t xml:space="preserve">SHP50545</t>
  </si>
  <si>
    <t xml:space="preserve">SHP50546</t>
  </si>
  <si>
    <t xml:space="preserve">SHP50547</t>
  </si>
  <si>
    <t xml:space="preserve">SHP50548</t>
  </si>
  <si>
    <t xml:space="preserve">SHP50549</t>
  </si>
  <si>
    <t xml:space="preserve">SHP50550</t>
  </si>
  <si>
    <t xml:space="preserve">SHP50551</t>
  </si>
  <si>
    <t xml:space="preserve">SHP50552</t>
  </si>
  <si>
    <t xml:space="preserve">SHP50553</t>
  </si>
  <si>
    <t xml:space="preserve">SHP50554</t>
  </si>
  <si>
    <t xml:space="preserve">SHP50555</t>
  </si>
  <si>
    <t xml:space="preserve">SHP50556</t>
  </si>
  <si>
    <t xml:space="preserve">SHP50557</t>
  </si>
  <si>
    <t xml:space="preserve">SHP50558</t>
  </si>
  <si>
    <t xml:space="preserve">SHP50559</t>
  </si>
  <si>
    <t xml:space="preserve">SHP50560</t>
  </si>
  <si>
    <t xml:space="preserve">SHP50561</t>
  </si>
  <si>
    <t xml:space="preserve">SHP50562</t>
  </si>
  <si>
    <t xml:space="preserve">SHP50563</t>
  </si>
  <si>
    <t xml:space="preserve">SHP50564</t>
  </si>
  <si>
    <t xml:space="preserve">SHP50565</t>
  </si>
  <si>
    <t xml:space="preserve">SHP50566</t>
  </si>
  <si>
    <t xml:space="preserve">SHP50567</t>
  </si>
  <si>
    <t xml:space="preserve">SHP50568</t>
  </si>
  <si>
    <t xml:space="preserve">SHP50569</t>
  </si>
  <si>
    <t xml:space="preserve">SHP50570</t>
  </si>
  <si>
    <t xml:space="preserve">SHP50571</t>
  </si>
  <si>
    <t xml:space="preserve">SHP50572</t>
  </si>
  <si>
    <t xml:space="preserve">SHP50573</t>
  </si>
  <si>
    <t xml:space="preserve">SHP50574</t>
  </si>
  <si>
    <t xml:space="preserve">SHP50575</t>
  </si>
  <si>
    <t xml:space="preserve">SHP50576</t>
  </si>
  <si>
    <t xml:space="preserve">SHP50577</t>
  </si>
  <si>
    <t xml:space="preserve">SHP50578</t>
  </si>
  <si>
    <t xml:space="preserve">SHP50579</t>
  </si>
  <si>
    <t xml:space="preserve">SHP50580</t>
  </si>
  <si>
    <t xml:space="preserve">SHP50581</t>
  </si>
  <si>
    <t xml:space="preserve">SHP50582</t>
  </si>
  <si>
    <t xml:space="preserve">SHP50583</t>
  </si>
  <si>
    <t xml:space="preserve">SHP50584</t>
  </si>
  <si>
    <t xml:space="preserve">SHP50585</t>
  </si>
  <si>
    <t xml:space="preserve">SHP50586</t>
  </si>
  <si>
    <t xml:space="preserve">SHP50587</t>
  </si>
  <si>
    <t xml:space="preserve">SHP50588</t>
  </si>
  <si>
    <t xml:space="preserve">SHP50589</t>
  </si>
  <si>
    <t xml:space="preserve">SHP50590</t>
  </si>
  <si>
    <t xml:space="preserve">SHP50591</t>
  </si>
  <si>
    <t xml:space="preserve">SHP50592</t>
  </si>
  <si>
    <t xml:space="preserve">SHP50593</t>
  </si>
  <si>
    <t xml:space="preserve">SHP50594</t>
  </si>
  <si>
    <t xml:space="preserve">SHP50595</t>
  </si>
  <si>
    <t xml:space="preserve">SHP50596</t>
  </si>
  <si>
    <t xml:space="preserve">SHP50597</t>
  </si>
  <si>
    <t xml:space="preserve">SHP50598</t>
  </si>
  <si>
    <t xml:space="preserve">SHP50599</t>
  </si>
  <si>
    <t xml:space="preserve">SHP50600</t>
  </si>
  <si>
    <t xml:space="preserve">SHP50601</t>
  </si>
  <si>
    <t xml:space="preserve">SHP50602</t>
  </si>
  <si>
    <t xml:space="preserve">SHP50603</t>
  </si>
  <si>
    <t xml:space="preserve">SHP50604</t>
  </si>
  <si>
    <t xml:space="preserve">SHP50605</t>
  </si>
  <si>
    <t xml:space="preserve">SHP50606</t>
  </si>
  <si>
    <t xml:space="preserve">SHP50607</t>
  </si>
  <si>
    <t xml:space="preserve">SHP50608</t>
  </si>
  <si>
    <t xml:space="preserve">SHP50609</t>
  </si>
  <si>
    <t xml:space="preserve">SHP50610</t>
  </si>
  <si>
    <t xml:space="preserve">SHP50611</t>
  </si>
  <si>
    <t xml:space="preserve">SHP50612</t>
  </si>
  <si>
    <t xml:space="preserve">SHP50613</t>
  </si>
  <si>
    <t xml:space="preserve">SHP50614</t>
  </si>
  <si>
    <t xml:space="preserve">SHP50615</t>
  </si>
  <si>
    <t xml:space="preserve">SHP50616</t>
  </si>
  <si>
    <t xml:space="preserve">SHP50617</t>
  </si>
  <si>
    <t xml:space="preserve">SHP50618</t>
  </si>
  <si>
    <t xml:space="preserve">SHP50619</t>
  </si>
  <si>
    <t xml:space="preserve">SHP50620</t>
  </si>
  <si>
    <t xml:space="preserve">SHP50621</t>
  </si>
  <si>
    <t xml:space="preserve">SHP50622</t>
  </si>
  <si>
    <t xml:space="preserve">SHP50623</t>
  </si>
  <si>
    <t xml:space="preserve">SHP50624</t>
  </si>
  <si>
    <t xml:space="preserve">SHP50625</t>
  </si>
  <si>
    <t xml:space="preserve">SHP50626</t>
  </si>
  <si>
    <t xml:space="preserve">SHP50627</t>
  </si>
  <si>
    <t xml:space="preserve">SHP50628</t>
  </si>
  <si>
    <t xml:space="preserve">SHP50629</t>
  </si>
  <si>
    <t xml:space="preserve">SHP50630</t>
  </si>
  <si>
    <t xml:space="preserve">SHP50631</t>
  </si>
  <si>
    <t xml:space="preserve">SHP50632</t>
  </si>
  <si>
    <t xml:space="preserve">SHP50633</t>
  </si>
  <si>
    <t xml:space="preserve">SHP50634</t>
  </si>
  <si>
    <t xml:space="preserve">SHP50635</t>
  </si>
  <si>
    <t xml:space="preserve">SHP50636</t>
  </si>
  <si>
    <t xml:space="preserve">SHP50637</t>
  </si>
  <si>
    <t xml:space="preserve">SHP50638</t>
  </si>
  <si>
    <t xml:space="preserve">SHP50639</t>
  </si>
  <si>
    <t xml:space="preserve">SHP50640</t>
  </si>
  <si>
    <t xml:space="preserve">SHP50641</t>
  </si>
  <si>
    <t xml:space="preserve">SHP50642</t>
  </si>
  <si>
    <t xml:space="preserve">SHP50643</t>
  </si>
  <si>
    <t xml:space="preserve">SHP50644</t>
  </si>
  <si>
    <t xml:space="preserve">SHP50645</t>
  </si>
  <si>
    <t xml:space="preserve">SHP50646</t>
  </si>
  <si>
    <t xml:space="preserve">SHP50647</t>
  </si>
  <si>
    <t xml:space="preserve">SHP50648</t>
  </si>
  <si>
    <t xml:space="preserve">SHP50649</t>
  </si>
  <si>
    <t xml:space="preserve">SHP50650</t>
  </si>
  <si>
    <t xml:space="preserve">SHP50651</t>
  </si>
  <si>
    <t xml:space="preserve">SHP50652</t>
  </si>
  <si>
    <t xml:space="preserve">SHP50653</t>
  </si>
  <si>
    <t xml:space="preserve">SHP50654</t>
  </si>
  <si>
    <t xml:space="preserve">SHP50655</t>
  </si>
  <si>
    <t xml:space="preserve">SHP50656</t>
  </si>
  <si>
    <t xml:space="preserve">SHP50657</t>
  </si>
  <si>
    <t xml:space="preserve">SHP50658</t>
  </si>
  <si>
    <t xml:space="preserve">SHP50659</t>
  </si>
  <si>
    <t xml:space="preserve">SHP50660</t>
  </si>
  <si>
    <t xml:space="preserve">SHP50661</t>
  </si>
  <si>
    <t xml:space="preserve">SHP50662</t>
  </si>
  <si>
    <t xml:space="preserve">SHP50663</t>
  </si>
  <si>
    <t xml:space="preserve">SHP50664</t>
  </si>
  <si>
    <t xml:space="preserve">SHP50665</t>
  </si>
  <si>
    <t xml:space="preserve">SHP50666</t>
  </si>
  <si>
    <t xml:space="preserve">SHP50667</t>
  </si>
  <si>
    <t xml:space="preserve">SHP50668</t>
  </si>
  <si>
    <t xml:space="preserve">SHP50669</t>
  </si>
  <si>
    <t xml:space="preserve">SHP50670</t>
  </si>
  <si>
    <t xml:space="preserve">SHP50671</t>
  </si>
  <si>
    <t xml:space="preserve">SHP50672</t>
  </si>
  <si>
    <t xml:space="preserve">SHP50673</t>
  </si>
  <si>
    <t xml:space="preserve">SHP50674</t>
  </si>
  <si>
    <t xml:space="preserve">SHP50675</t>
  </si>
  <si>
    <t xml:space="preserve">SHP50676</t>
  </si>
  <si>
    <t xml:space="preserve">SHP50677</t>
  </si>
  <si>
    <t xml:space="preserve">SHP50678</t>
  </si>
  <si>
    <t xml:space="preserve">SHP50679</t>
  </si>
  <si>
    <t xml:space="preserve">SHP50680</t>
  </si>
  <si>
    <t xml:space="preserve">SHP50681</t>
  </si>
  <si>
    <t xml:space="preserve">SHP50682</t>
  </si>
  <si>
    <t xml:space="preserve">SHP50683</t>
  </si>
  <si>
    <t xml:space="preserve">SHP50684</t>
  </si>
  <si>
    <t xml:space="preserve">SHP50685</t>
  </si>
  <si>
    <t xml:space="preserve">SHP50686</t>
  </si>
  <si>
    <t xml:space="preserve">SHP50687</t>
  </si>
  <si>
    <t xml:space="preserve">SHP50688</t>
  </si>
  <si>
    <t xml:space="preserve">SHP50689</t>
  </si>
  <si>
    <t xml:space="preserve">SHP50690</t>
  </si>
  <si>
    <t xml:space="preserve">SHP50691</t>
  </si>
  <si>
    <t xml:space="preserve">SHP50692</t>
  </si>
  <si>
    <t xml:space="preserve">SHP50693</t>
  </si>
  <si>
    <t xml:space="preserve">SHP50694</t>
  </si>
  <si>
    <t xml:space="preserve">SHP50695</t>
  </si>
  <si>
    <t xml:space="preserve">SHP50696</t>
  </si>
  <si>
    <t xml:space="preserve">SHP50697</t>
  </si>
  <si>
    <t xml:space="preserve">SHP50698</t>
  </si>
  <si>
    <t xml:space="preserve">SHP50699</t>
  </si>
  <si>
    <t xml:space="preserve">SHP50700</t>
  </si>
  <si>
    <t xml:space="preserve">SHP50701</t>
  </si>
  <si>
    <t xml:space="preserve">SHP50702</t>
  </si>
  <si>
    <t xml:space="preserve">SHP50703</t>
  </si>
  <si>
    <t xml:space="preserve">SHP50704</t>
  </si>
  <si>
    <t xml:space="preserve">SHP50705</t>
  </si>
  <si>
    <t xml:space="preserve">SHP50706</t>
  </si>
  <si>
    <t xml:space="preserve">SHP50707</t>
  </si>
  <si>
    <t xml:space="preserve">SHP50708</t>
  </si>
  <si>
    <t xml:space="preserve">SHP50709</t>
  </si>
  <si>
    <t xml:space="preserve">SHP50710</t>
  </si>
  <si>
    <t xml:space="preserve">SHP50711</t>
  </si>
  <si>
    <t xml:space="preserve">SHP50712</t>
  </si>
  <si>
    <t xml:space="preserve">SHP50713</t>
  </si>
  <si>
    <t xml:space="preserve">SHP50714</t>
  </si>
  <si>
    <t xml:space="preserve">SHP50715</t>
  </si>
  <si>
    <t xml:space="preserve">SHP50716</t>
  </si>
  <si>
    <t xml:space="preserve">SHP50717</t>
  </si>
  <si>
    <t xml:space="preserve">SHP50718</t>
  </si>
  <si>
    <t xml:space="preserve">SHP50719</t>
  </si>
  <si>
    <t xml:space="preserve">SHP50720</t>
  </si>
  <si>
    <t xml:space="preserve">SHP50721</t>
  </si>
  <si>
    <t xml:space="preserve">SHP50722</t>
  </si>
  <si>
    <t xml:space="preserve">SHP50723</t>
  </si>
  <si>
    <t xml:space="preserve">SHP50724</t>
  </si>
  <si>
    <t xml:space="preserve">SHP50725</t>
  </si>
  <si>
    <t xml:space="preserve">SHP50726</t>
  </si>
  <si>
    <t xml:space="preserve">SHP50727</t>
  </si>
  <si>
    <t xml:space="preserve">SHP50728</t>
  </si>
  <si>
    <t xml:space="preserve">SHP50729</t>
  </si>
  <si>
    <t xml:space="preserve">SHP50730</t>
  </si>
  <si>
    <t xml:space="preserve">SHP50731</t>
  </si>
  <si>
    <t xml:space="preserve">SHP50732</t>
  </si>
  <si>
    <t xml:space="preserve">SHP50733</t>
  </si>
  <si>
    <t xml:space="preserve">SHP50734</t>
  </si>
  <si>
    <t xml:space="preserve">SHP50735</t>
  </si>
  <si>
    <t xml:space="preserve">SHP50736</t>
  </si>
  <si>
    <t xml:space="preserve">SHP50737</t>
  </si>
  <si>
    <t xml:space="preserve">SHP50738</t>
  </si>
  <si>
    <t xml:space="preserve">SHP50739</t>
  </si>
  <si>
    <t xml:space="preserve">SHP50740</t>
  </si>
  <si>
    <t xml:space="preserve">SHP50741</t>
  </si>
  <si>
    <t xml:space="preserve">SHP50742</t>
  </si>
  <si>
    <t xml:space="preserve">SHP50743</t>
  </si>
  <si>
    <t xml:space="preserve">SHP50744</t>
  </si>
  <si>
    <t xml:space="preserve">SHP50745</t>
  </si>
  <si>
    <t xml:space="preserve">SHP50746</t>
  </si>
  <si>
    <t xml:space="preserve">SHP50747</t>
  </si>
  <si>
    <t xml:space="preserve">SHP50748</t>
  </si>
  <si>
    <t xml:space="preserve">SHP50749</t>
  </si>
  <si>
    <t xml:space="preserve">SHP50750</t>
  </si>
  <si>
    <t xml:space="preserve">SHP50751</t>
  </si>
  <si>
    <t xml:space="preserve">SHP50752</t>
  </si>
  <si>
    <t xml:space="preserve">SHP50753</t>
  </si>
  <si>
    <t xml:space="preserve">SHP50754</t>
  </si>
  <si>
    <t xml:space="preserve">SHP50755</t>
  </si>
  <si>
    <t xml:space="preserve">SHP50756</t>
  </si>
  <si>
    <t xml:space="preserve">SHP50757</t>
  </si>
  <si>
    <t xml:space="preserve">SHP50758</t>
  </si>
  <si>
    <t xml:space="preserve">SHP50759</t>
  </si>
  <si>
    <t xml:space="preserve">SHP50760</t>
  </si>
  <si>
    <t xml:space="preserve">SHP50761</t>
  </si>
  <si>
    <t xml:space="preserve">SHP50762</t>
  </si>
  <si>
    <t xml:space="preserve">SHP50763</t>
  </si>
  <si>
    <t xml:space="preserve">SHP50764</t>
  </si>
  <si>
    <t xml:space="preserve">SHP50765</t>
  </si>
  <si>
    <t xml:space="preserve">SHP50766</t>
  </si>
  <si>
    <t xml:space="preserve">SHP50767</t>
  </si>
  <si>
    <t xml:space="preserve">SHP50768</t>
  </si>
  <si>
    <t xml:space="preserve">SHP50769</t>
  </si>
  <si>
    <t xml:space="preserve">SHP50770</t>
  </si>
  <si>
    <t xml:space="preserve">SHP50771</t>
  </si>
  <si>
    <t xml:space="preserve">SHP50772</t>
  </si>
  <si>
    <t xml:space="preserve">SHP50773</t>
  </si>
  <si>
    <t xml:space="preserve">SHP50774</t>
  </si>
  <si>
    <t xml:space="preserve">SHP50775</t>
  </si>
  <si>
    <t xml:space="preserve">SHP50776</t>
  </si>
  <si>
    <t xml:space="preserve">SHP50777</t>
  </si>
  <si>
    <t xml:space="preserve">SHP50778</t>
  </si>
  <si>
    <t xml:space="preserve">SHP50779</t>
  </si>
  <si>
    <t xml:space="preserve">SHP50780</t>
  </si>
  <si>
    <t xml:space="preserve">SHP50781</t>
  </si>
  <si>
    <t xml:space="preserve">SHP50782</t>
  </si>
  <si>
    <t xml:space="preserve">SHP50783</t>
  </si>
  <si>
    <t xml:space="preserve">SHP50784</t>
  </si>
  <si>
    <t xml:space="preserve">SHP50785</t>
  </si>
  <si>
    <t xml:space="preserve">SHP50786</t>
  </si>
  <si>
    <t xml:space="preserve">SHP50787</t>
  </si>
  <si>
    <t xml:space="preserve">SHP50788</t>
  </si>
  <si>
    <t xml:space="preserve">SHP50789</t>
  </si>
  <si>
    <t xml:space="preserve">SHP50790</t>
  </si>
  <si>
    <t xml:space="preserve">SHP50791</t>
  </si>
  <si>
    <t xml:space="preserve">SHP50792</t>
  </si>
  <si>
    <t xml:space="preserve">SHP50793</t>
  </si>
  <si>
    <t xml:space="preserve">SHP50794</t>
  </si>
  <si>
    <t xml:space="preserve">SHP50795</t>
  </si>
  <si>
    <t xml:space="preserve">SHP50796</t>
  </si>
  <si>
    <t xml:space="preserve">SHP50797</t>
  </si>
  <si>
    <t xml:space="preserve">SHP50798</t>
  </si>
  <si>
    <t xml:space="preserve">SHP50799</t>
  </si>
  <si>
    <t xml:space="preserve">SHP50800</t>
  </si>
  <si>
    <t xml:space="preserve">Settings - City SLA (delivery promise in days)</t>
  </si>
  <si>
    <t xml:space="preserve">Edit blue cells. SLA is looked up by the Tracker sheet.</t>
  </si>
  <si>
    <t xml:space="preserve">Zone</t>
  </si>
  <si>
    <t xml:space="preserve">Status List</t>
  </si>
  <si>
    <t xml:space="preserve">Couriers</t>
  </si>
  <si>
    <t xml:space="preserve">Metro</t>
  </si>
  <si>
    <t xml:space="preserve">Tier-2</t>
  </si>
  <si>
    <t xml:space="preserve">Remote</t>
  </si>
  <si>
    <t xml:space="preserve">About this workbook</t>
  </si>
  <si>
    <t xml:space="preserve">Purpose: Track shipments, measure delivery performance against SLA and analyse returns / RTO - a common task for an MIS Analyst in E-commerce.</t>
  </si>
  <si>
    <t xml:space="preserve">Data: SIMULATED sample data (800 shipments, 01-Jul-2026 to 30-Sep-2026). Not real company data.</t>
  </si>
  <si>
    <t xml:space="preserve">How it works:</t>
  </si>
  <si>
    <t xml:space="preserve">  Tracker - enter data in blue columns A-G (dropdowns for City, Courier, Status, Reason).</t>
  </si>
  <si>
    <t xml:space="preserve">  SLA, TAT, Delivery Flag and Days Delayed are formulas (black) and update automatically.</t>
  </si>
  <si>
    <t xml:space="preserve">  Settings - change SLA days per city; the Tracker and Summary update instantly.</t>
  </si>
  <si>
    <t xml:space="preserve">  Dashboard - KPI cards and 4 charts; Summary Tables - courier scorecard, return reasons and city-wise tables.</t>
  </si>
  <si>
    <t xml:space="preserve">Definitions: TAT = Delivery Date - Ship Date. Delayed = TAT greater than SLA. RTO = Return To Origin.</t>
  </si>
  <si>
    <t xml:space="preserve">Formulas used: VLOOKUP, IF, IFERROR, COUNTIFS, AVERAGEIFS, AVERAGE. Also data validation and conditional formatting.</t>
  </si>
  <si>
    <t xml:space="preserve">Note: shipments with status In Transit or RTO have no delivery date, so they are excluded from TAT / on-time calculations.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</si>
</sst>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"/>
    <numFmt numFmtId="168" formatCode="0%"/>
    <numFmt numFmtId="169" formatCode="dd\-mmm\-yyyy"/>
    <numFmt numFmtId="170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7F7F7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1"/>
      <color rgb="FF1F2F4A"/>
      <name val="Arial"/>
      <family val="0"/>
      <charset val="1"/>
    </font>
    <font>
      <sz val="10"/>
      <color rgb="FF000000"/>
      <name val="Calibri"/>
      <family val="2"/>
    </font>
    <font>
      <b val="true"/>
      <sz val="16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2F4A"/>
      </patternFill>
    </fill>
    <fill>
      <patternFill patternType="solid">
        <fgColor rgb="FFEEF1F5"/>
        <bgColor rgb="FFFFFFFF"/>
      </patternFill>
    </fill>
    <fill>
      <patternFill patternType="solid">
        <fgColor rgb="FF1F77D4"/>
        <bgColor rgb="FF1F5FBF"/>
      </patternFill>
    </fill>
    <fill>
      <patternFill patternType="solid">
        <fgColor rgb="FF2E9E4F"/>
        <bgColor rgb="FF008080"/>
      </patternFill>
    </fill>
    <fill>
      <patternFill patternType="solid">
        <fgColor rgb="FFF28E1C"/>
        <bgColor rgb="FFFF8080"/>
      </patternFill>
    </fill>
    <fill>
      <patternFill patternType="solid">
        <fgColor rgb="FFD9534F"/>
        <bgColor rgb="FFFF8080"/>
      </patternFill>
    </fill>
    <fill>
      <patternFill patternType="solid">
        <fgColor rgb="FFFFFFFF"/>
        <bgColor rgb="FFEEF1F5"/>
      </patternFill>
    </fill>
    <fill>
      <patternFill patternType="solid">
        <fgColor rgb="FFD9E2F3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ck">
        <color rgb="FFEEF1F5"/>
      </left>
      <right/>
      <top/>
      <bottom/>
      <diagonal/>
    </border>
    <border diagonalUp="false" diagonalDown="false">
      <left/>
      <right style="thick">
        <color rgb="FFEEF1F5"/>
      </right>
      <top/>
      <bottom/>
      <diagonal/>
    </border>
    <border diagonalUp="false" diagonalDown="false">
      <left style="thick">
        <color rgb="FFEEF1F5"/>
      </left>
      <right style="thick">
        <color rgb="FFEEF1F5"/>
      </right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3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7F7F7F"/>
      <rgbColor rgb="FF9999FF"/>
      <rgbColor rgb="FF993366"/>
      <rgbColor rgb="FFEEF1F5"/>
      <rgbColor rgb="FFD9E2F3"/>
      <rgbColor rgb="FF660066"/>
      <rgbColor rgb="FFFF8080"/>
      <rgbColor rgb="FF1F5FB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1F77D4"/>
      <rgbColor rgb="FF33CCCC"/>
      <rgbColor rgb="FF99CC00"/>
      <rgbColor rgb="FFFFCC00"/>
      <rgbColor rgb="FFF28E1C"/>
      <rgbColor rgb="FFD9534F"/>
      <rgbColor rgb="FF595959"/>
      <rgbColor rgb="FF878787"/>
      <rgbColor rgb="FF1F3864"/>
      <rgbColor rgb="FF2E9E4F"/>
      <rgbColor rgb="FF003300"/>
      <rgbColor rgb="FF333300"/>
      <rgbColor rgb="FF993300"/>
      <rgbColor rgb="FF993366"/>
      <rgbColor rgb="FF333399"/>
      <rgbColor rgb="FF1F2F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Tables'!E12</c:f>
              <c:strCache>
                <c:ptCount val="1"/>
                <c:pt idx="0">
                  <c:v>On-Time %</c:v>
                </c:pt>
              </c:strCache>
            </c:strRef>
          </c:tx>
          <c:spPr>
            <a:solidFill>
              <a:srgbClr val="1f5fb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Tables'!$A$13:$A$16</c:f>
              <c:strCache>
                <c:ptCount val="4"/>
                <c:pt idx="0">
                  <c:v>Courier A</c:v>
                </c:pt>
                <c:pt idx="1">
                  <c:v>Courier B</c:v>
                </c:pt>
                <c:pt idx="2">
                  <c:v>Courier C</c:v>
                </c:pt>
                <c:pt idx="3">
                  <c:v>Courier D</c:v>
                </c:pt>
              </c:strCache>
            </c:strRef>
          </c:cat>
          <c:val>
            <c:numRef>
              <c:f>'Summary Tables'!$E$13:$E$16</c:f>
              <c:numCache>
                <c:formatCode>0.0%</c:formatCode>
                <c:ptCount val="4"/>
                <c:pt idx="0">
                  <c:v>0.744565217391304</c:v>
                </c:pt>
                <c:pt idx="1">
                  <c:v>0.61025641025641</c:v>
                </c:pt>
                <c:pt idx="2">
                  <c:v>0.430232558139535</c:v>
                </c:pt>
                <c:pt idx="3">
                  <c:v>0.632530120481928</c:v>
                </c:pt>
              </c:numCache>
            </c:numRef>
          </c:val>
        </c:ser>
        <c:gapWidth val="60"/>
        <c:overlap val="0"/>
        <c:axId val="17973793"/>
        <c:axId val="59144534"/>
      </c:barChart>
      <c:catAx>
        <c:axId val="179737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44534"/>
        <c:crosses val="autoZero"/>
        <c:auto val="1"/>
        <c:lblAlgn val="ctr"/>
        <c:lblOffset val="100"/>
        <c:noMultiLvlLbl val="0"/>
      </c:catAx>
      <c:valAx>
        <c:axId val="59144534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737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'Summary Tables'!B20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f28e1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Tables'!$A$21:$A$25</c:f>
              <c:strCache>
                <c:ptCount val="5"/>
                <c:pt idx="0">
                  <c:v>Damaged / wrong item</c:v>
                </c:pt>
                <c:pt idx="1">
                  <c:v>Customer not available</c:v>
                </c:pt>
                <c:pt idx="2">
                  <c:v>Address issue</c:v>
                </c:pt>
                <c:pt idx="3">
                  <c:v>Refused at delivery</c:v>
                </c:pt>
                <c:pt idx="4">
                  <c:v>Changed mind</c:v>
                </c:pt>
              </c:strCache>
            </c:strRef>
          </c:cat>
          <c:val>
            <c:numRef>
              <c:f>'Summary Tables'!$B$21:$B$25</c:f>
              <c:numCache>
                <c:formatCode>General</c:formatCode>
                <c:ptCount val="5"/>
                <c:pt idx="0">
                  <c:v>22</c:v>
                </c:pt>
                <c:pt idx="1">
                  <c:v>13</c:v>
                </c:pt>
                <c:pt idx="2">
                  <c:v>26</c:v>
                </c:pt>
                <c:pt idx="3">
                  <c:v>27</c:v>
                </c:pt>
                <c:pt idx="4">
                  <c:v>19</c:v>
                </c:pt>
              </c:numCache>
            </c:numRef>
          </c:val>
        </c:ser>
        <c:gapWidth val="50"/>
        <c:overlap val="0"/>
        <c:axId val="18634920"/>
        <c:axId val="33799817"/>
      </c:barChart>
      <c:catAx>
        <c:axId val="1863492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99817"/>
        <c:crosses val="autoZero"/>
        <c:auto val="1"/>
        <c:lblAlgn val="ctr"/>
        <c:lblOffset val="100"/>
        <c:noMultiLvlLbl val="0"/>
      </c:catAx>
      <c:valAx>
        <c:axId val="337998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349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'Summary Tables'!K12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9e4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f77d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28e1c"/>
              </a:solidFill>
              <a:ln w="0">
                <a:noFill/>
              </a:ln>
            </c:spPr>
          </c:dPt>
          <c:dPt>
            <c:idx val="3"/>
            <c:spPr>
              <a:solidFill>
                <a:srgbClr val="d9534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'Summary Tables'!$J$13:$J$16</c:f>
              <c:strCache>
                <c:ptCount val="4"/>
                <c:pt idx="0">
                  <c:v>Delivered</c:v>
                </c:pt>
                <c:pt idx="1">
                  <c:v>In Transit</c:v>
                </c:pt>
                <c:pt idx="2">
                  <c:v>Returned</c:v>
                </c:pt>
                <c:pt idx="3">
                  <c:v>RTO</c:v>
                </c:pt>
              </c:strCache>
            </c:strRef>
          </c:cat>
          <c:val>
            <c:numRef>
              <c:f>'Summary Tables'!$K$13:$K$16</c:f>
              <c:numCache>
                <c:formatCode>General</c:formatCode>
                <c:ptCount val="4"/>
                <c:pt idx="0">
                  <c:v>662</c:v>
                </c:pt>
                <c:pt idx="1">
                  <c:v>31</c:v>
                </c:pt>
                <c:pt idx="2">
                  <c:v>55</c:v>
                </c:pt>
                <c:pt idx="3">
                  <c:v>52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Tables'!G20</c:f>
              <c:strCache>
                <c:ptCount val="1"/>
                <c:pt idx="0">
                  <c:v>Avg TAT</c:v>
                </c:pt>
              </c:strCache>
            </c:strRef>
          </c:tx>
          <c:spPr>
            <a:solidFill>
              <a:srgbClr val="1f5fb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Tables'!$E$21:$E$30</c:f>
              <c:strCache>
                <c:ptCount val="10"/>
                <c:pt idx="0">
                  <c:v>Delhi</c:v>
                </c:pt>
                <c:pt idx="1">
                  <c:v>Mumbai</c:v>
                </c:pt>
                <c:pt idx="2">
                  <c:v>Bengaluru</c:v>
                </c:pt>
                <c:pt idx="3">
                  <c:v>Hyderabad</c:v>
                </c:pt>
                <c:pt idx="4">
                  <c:v>Kolkata</c:v>
                </c:pt>
                <c:pt idx="5">
                  <c:v>Jaipur</c:v>
                </c:pt>
                <c:pt idx="6">
                  <c:v>Lucknow</c:v>
                </c:pt>
                <c:pt idx="7">
                  <c:v>Indore</c:v>
                </c:pt>
                <c:pt idx="8">
                  <c:v>Patna</c:v>
                </c:pt>
                <c:pt idx="9">
                  <c:v>Guwahati</c:v>
                </c:pt>
              </c:strCache>
            </c:strRef>
          </c:cat>
          <c:val>
            <c:numRef>
              <c:f>'Summary Tables'!$G$21:$G$30</c:f>
              <c:numCache>
                <c:formatCode>0.0</c:formatCode>
                <c:ptCount val="10"/>
                <c:pt idx="0">
                  <c:v>3.14838709677419</c:v>
                </c:pt>
                <c:pt idx="1">
                  <c:v>3.19354838709677</c:v>
                </c:pt>
                <c:pt idx="2">
                  <c:v>3.31818181818182</c:v>
                </c:pt>
                <c:pt idx="3">
                  <c:v>3.06603773584906</c:v>
                </c:pt>
                <c:pt idx="4">
                  <c:v>4.13953488372093</c:v>
                </c:pt>
                <c:pt idx="5">
                  <c:v>5.26530612244898</c:v>
                </c:pt>
                <c:pt idx="6">
                  <c:v>5.10526315789474</c:v>
                </c:pt>
                <c:pt idx="7">
                  <c:v>5</c:v>
                </c:pt>
                <c:pt idx="8">
                  <c:v>5.78947368421053</c:v>
                </c:pt>
                <c:pt idx="9">
                  <c:v>7.5625</c:v>
                </c:pt>
              </c:numCache>
            </c:numRef>
          </c:val>
        </c:ser>
        <c:gapWidth val="60"/>
        <c:overlap val="0"/>
        <c:axId val="33638142"/>
        <c:axId val="96248282"/>
      </c:barChart>
      <c:catAx>
        <c:axId val="336381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48282"/>
        <c:crosses val="autoZero"/>
        <c:auto val="1"/>
        <c:lblAlgn val="ctr"/>
        <c:lblOffset val="100"/>
        <c:noMultiLvlLbl val="0"/>
      </c:catAx>
      <c:valAx>
        <c:axId val="9624828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381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9</xdr:col>
      <xdr:colOff>49680</xdr:colOff>
      <xdr:row>27</xdr:row>
      <xdr:rowOff>73080</xdr:rowOff>
    </xdr:to>
    <xdr:graphicFrame>
      <xdr:nvGraphicFramePr>
        <xdr:cNvPr id="0" name="Chart 1"/>
        <xdr:cNvGraphicFramePr/>
      </xdr:nvGraphicFramePr>
      <xdr:xfrm>
        <a:off x="0" y="1838160"/>
        <a:ext cx="5507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18</xdr:col>
      <xdr:colOff>50040</xdr:colOff>
      <xdr:row>27</xdr:row>
      <xdr:rowOff>73080</xdr:rowOff>
    </xdr:to>
    <xdr:graphicFrame>
      <xdr:nvGraphicFramePr>
        <xdr:cNvPr id="1" name="Chart 2"/>
        <xdr:cNvGraphicFramePr/>
      </xdr:nvGraphicFramePr>
      <xdr:xfrm>
        <a:off x="5457960" y="1838160"/>
        <a:ext cx="5507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9</xdr:col>
      <xdr:colOff>49680</xdr:colOff>
      <xdr:row>47</xdr:row>
      <xdr:rowOff>73080</xdr:rowOff>
    </xdr:to>
    <xdr:graphicFrame>
      <xdr:nvGraphicFramePr>
        <xdr:cNvPr id="2" name="Chart 3"/>
        <xdr:cNvGraphicFramePr/>
      </xdr:nvGraphicFramePr>
      <xdr:xfrm>
        <a:off x="0" y="5648400"/>
        <a:ext cx="5507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30</xdr:row>
      <xdr:rowOff>0</xdr:rowOff>
    </xdr:from>
    <xdr:to>
      <xdr:col>18</xdr:col>
      <xdr:colOff>50040</xdr:colOff>
      <xdr:row>47</xdr:row>
      <xdr:rowOff>73080</xdr:rowOff>
    </xdr:to>
    <xdr:graphicFrame>
      <xdr:nvGraphicFramePr>
        <xdr:cNvPr id="3" name="Chart 4"/>
        <xdr:cNvGraphicFramePr/>
      </xdr:nvGraphicFramePr>
      <xdr:xfrm>
        <a:off x="5457960" y="5648400"/>
        <a:ext cx="5507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8.61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3.75" hidden="false" customHeight="true" outlineLevel="0" collapsed="false">
      <c r="A5" s="4"/>
      <c r="B5" s="5"/>
      <c r="C5" s="6"/>
      <c r="D5" s="7"/>
      <c r="E5" s="8"/>
      <c r="F5" s="9"/>
      <c r="G5" s="7"/>
      <c r="H5" s="8"/>
      <c r="I5" s="9"/>
      <c r="J5" s="10"/>
      <c r="K5" s="11"/>
      <c r="L5" s="12"/>
      <c r="M5" s="10"/>
      <c r="N5" s="11"/>
      <c r="O5" s="12"/>
      <c r="P5" s="13"/>
      <c r="Q5" s="14"/>
      <c r="R5" s="15"/>
    </row>
    <row r="6" customFormat="false" ht="15" hidden="false" customHeight="false" outlineLevel="0" collapsed="false">
      <c r="A6" s="16" t="s">
        <v>2</v>
      </c>
      <c r="B6" s="16"/>
      <c r="C6" s="16"/>
      <c r="D6" s="16" t="s">
        <v>3</v>
      </c>
      <c r="E6" s="16"/>
      <c r="F6" s="16"/>
      <c r="G6" s="16" t="s">
        <v>4</v>
      </c>
      <c r="H6" s="16"/>
      <c r="I6" s="16"/>
      <c r="J6" s="16" t="s">
        <v>5</v>
      </c>
      <c r="K6" s="16"/>
      <c r="L6" s="16"/>
      <c r="M6" s="16" t="s">
        <v>6</v>
      </c>
      <c r="N6" s="16"/>
      <c r="O6" s="16"/>
      <c r="P6" s="16" t="s">
        <v>7</v>
      </c>
      <c r="Q6" s="16"/>
      <c r="R6" s="16"/>
    </row>
    <row r="7" customFormat="false" ht="15" hidden="false" customHeight="false" outlineLevel="0" collapsed="false">
      <c r="A7" s="17" t="n">
        <f aca="false">'Summary Tables'!A5</f>
        <v>800</v>
      </c>
      <c r="B7" s="17"/>
      <c r="C7" s="17"/>
      <c r="D7" s="17" t="n">
        <f aca="false">'Summary Tables'!B5</f>
        <v>662</v>
      </c>
      <c r="E7" s="17"/>
      <c r="F7" s="17"/>
      <c r="G7" s="18" t="n">
        <f aca="false">'Summary Tables'!A8</f>
        <v>0.606694560669456</v>
      </c>
      <c r="H7" s="18"/>
      <c r="I7" s="18"/>
      <c r="J7" s="19" t="n">
        <f aca="false">'Summary Tables'!B8</f>
        <v>3.71548117154812</v>
      </c>
      <c r="K7" s="19"/>
      <c r="L7" s="19"/>
      <c r="M7" s="18" t="n">
        <f aca="false">'Summary Tables'!D8</f>
        <v>0.06875</v>
      </c>
      <c r="N7" s="18"/>
      <c r="O7" s="18"/>
      <c r="P7" s="18" t="n">
        <f aca="false">'Summary Tables'!E8</f>
        <v>0.065</v>
      </c>
      <c r="Q7" s="18"/>
      <c r="R7" s="18"/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18"/>
      <c r="H8" s="18"/>
      <c r="I8" s="18"/>
      <c r="J8" s="19"/>
      <c r="K8" s="19"/>
      <c r="L8" s="19"/>
      <c r="M8" s="18"/>
      <c r="N8" s="18"/>
      <c r="O8" s="18"/>
      <c r="P8" s="18"/>
      <c r="Q8" s="18"/>
      <c r="R8" s="18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customFormat="false" ht="15" hidden="false" customHeight="false" outlineLevel="0" collapsed="false">
      <c r="A10" s="20" t="s">
        <v>8</v>
      </c>
      <c r="B10" s="21"/>
      <c r="C10" s="21"/>
      <c r="D10" s="21"/>
      <c r="E10" s="21"/>
      <c r="F10" s="21"/>
      <c r="G10" s="21"/>
      <c r="H10" s="21"/>
      <c r="I10" s="22"/>
      <c r="J10" s="20" t="s">
        <v>9</v>
      </c>
      <c r="K10" s="21"/>
      <c r="L10" s="21"/>
      <c r="M10" s="21"/>
      <c r="N10" s="21"/>
      <c r="O10" s="21"/>
      <c r="P10" s="21"/>
      <c r="Q10" s="21"/>
      <c r="R10" s="22"/>
    </row>
    <row r="11" customFormat="false" ht="15" hidden="false" customHeight="false" outlineLevel="0" collapsed="false">
      <c r="A11" s="23"/>
      <c r="B11" s="21"/>
      <c r="C11" s="21"/>
      <c r="D11" s="21"/>
      <c r="E11" s="21"/>
      <c r="F11" s="21"/>
      <c r="G11" s="21"/>
      <c r="H11" s="21"/>
      <c r="I11" s="22"/>
      <c r="J11" s="23"/>
      <c r="K11" s="21"/>
      <c r="L11" s="21"/>
      <c r="M11" s="21"/>
      <c r="N11" s="21"/>
      <c r="O11" s="21"/>
      <c r="P11" s="21"/>
      <c r="Q11" s="21"/>
      <c r="R11" s="22"/>
    </row>
    <row r="12" customFormat="false" ht="15" hidden="false" customHeight="false" outlineLevel="0" collapsed="false">
      <c r="A12" s="23"/>
      <c r="B12" s="21"/>
      <c r="C12" s="21"/>
      <c r="D12" s="21"/>
      <c r="E12" s="21"/>
      <c r="F12" s="21"/>
      <c r="G12" s="21"/>
      <c r="H12" s="21"/>
      <c r="I12" s="22"/>
      <c r="J12" s="23"/>
      <c r="K12" s="21"/>
      <c r="L12" s="21"/>
      <c r="M12" s="21"/>
      <c r="N12" s="21"/>
      <c r="O12" s="21"/>
      <c r="P12" s="21"/>
      <c r="Q12" s="21"/>
      <c r="R12" s="22"/>
    </row>
    <row r="13" customFormat="false" ht="15" hidden="false" customHeight="false" outlineLevel="0" collapsed="false">
      <c r="A13" s="23"/>
      <c r="B13" s="21"/>
      <c r="C13" s="21"/>
      <c r="D13" s="21"/>
      <c r="E13" s="21"/>
      <c r="F13" s="21"/>
      <c r="G13" s="21"/>
      <c r="H13" s="21"/>
      <c r="I13" s="22"/>
      <c r="J13" s="23"/>
      <c r="K13" s="21"/>
      <c r="L13" s="21"/>
      <c r="M13" s="21"/>
      <c r="N13" s="21"/>
      <c r="O13" s="21"/>
      <c r="P13" s="21"/>
      <c r="Q13" s="21"/>
      <c r="R13" s="22"/>
    </row>
    <row r="14" customFormat="false" ht="15" hidden="false" customHeight="false" outlineLevel="0" collapsed="false">
      <c r="A14" s="23"/>
      <c r="B14" s="21"/>
      <c r="C14" s="21"/>
      <c r="D14" s="21"/>
      <c r="E14" s="21"/>
      <c r="F14" s="21"/>
      <c r="G14" s="21"/>
      <c r="H14" s="21"/>
      <c r="I14" s="22"/>
      <c r="J14" s="23"/>
      <c r="K14" s="21"/>
      <c r="L14" s="21"/>
      <c r="M14" s="21"/>
      <c r="N14" s="21"/>
      <c r="O14" s="21"/>
      <c r="P14" s="21"/>
      <c r="Q14" s="21"/>
      <c r="R14" s="22"/>
    </row>
    <row r="15" customFormat="false" ht="15" hidden="false" customHeight="false" outlineLevel="0" collapsed="false">
      <c r="A15" s="23"/>
      <c r="B15" s="21"/>
      <c r="C15" s="21"/>
      <c r="D15" s="21"/>
      <c r="E15" s="21"/>
      <c r="F15" s="21"/>
      <c r="G15" s="21"/>
      <c r="H15" s="21"/>
      <c r="I15" s="22"/>
      <c r="J15" s="23"/>
      <c r="K15" s="21"/>
      <c r="L15" s="21"/>
      <c r="M15" s="21"/>
      <c r="N15" s="21"/>
      <c r="O15" s="21"/>
      <c r="P15" s="21"/>
      <c r="Q15" s="21"/>
      <c r="R15" s="22"/>
    </row>
    <row r="16" customFormat="false" ht="15" hidden="false" customHeight="false" outlineLevel="0" collapsed="false">
      <c r="A16" s="23"/>
      <c r="B16" s="21"/>
      <c r="C16" s="21"/>
      <c r="D16" s="21"/>
      <c r="E16" s="21"/>
      <c r="F16" s="21"/>
      <c r="G16" s="21"/>
      <c r="H16" s="21"/>
      <c r="I16" s="22"/>
      <c r="J16" s="23"/>
      <c r="K16" s="21"/>
      <c r="L16" s="21"/>
      <c r="M16" s="21"/>
      <c r="N16" s="21"/>
      <c r="O16" s="21"/>
      <c r="P16" s="21"/>
      <c r="Q16" s="21"/>
      <c r="R16" s="22"/>
    </row>
    <row r="17" customFormat="false" ht="15" hidden="false" customHeight="false" outlineLevel="0" collapsed="false">
      <c r="A17" s="23"/>
      <c r="B17" s="21"/>
      <c r="C17" s="21"/>
      <c r="D17" s="21"/>
      <c r="E17" s="21"/>
      <c r="F17" s="21"/>
      <c r="G17" s="21"/>
      <c r="H17" s="21"/>
      <c r="I17" s="22"/>
      <c r="J17" s="23"/>
      <c r="K17" s="21"/>
      <c r="L17" s="21"/>
      <c r="M17" s="21"/>
      <c r="N17" s="21"/>
      <c r="O17" s="21"/>
      <c r="P17" s="21"/>
      <c r="Q17" s="21"/>
      <c r="R17" s="22"/>
    </row>
    <row r="18" customFormat="false" ht="15" hidden="false" customHeight="false" outlineLevel="0" collapsed="false">
      <c r="A18" s="23"/>
      <c r="B18" s="21"/>
      <c r="C18" s="21"/>
      <c r="D18" s="21"/>
      <c r="E18" s="21"/>
      <c r="F18" s="21"/>
      <c r="G18" s="21"/>
      <c r="H18" s="21"/>
      <c r="I18" s="22"/>
      <c r="J18" s="23"/>
      <c r="K18" s="21"/>
      <c r="L18" s="21"/>
      <c r="M18" s="21"/>
      <c r="N18" s="21"/>
      <c r="O18" s="21"/>
      <c r="P18" s="21"/>
      <c r="Q18" s="21"/>
      <c r="R18" s="22"/>
    </row>
    <row r="19" customFormat="false" ht="15" hidden="false" customHeight="false" outlineLevel="0" collapsed="false">
      <c r="A19" s="23"/>
      <c r="B19" s="21"/>
      <c r="C19" s="21"/>
      <c r="D19" s="21"/>
      <c r="E19" s="21"/>
      <c r="F19" s="21"/>
      <c r="G19" s="21"/>
      <c r="H19" s="21"/>
      <c r="I19" s="22"/>
      <c r="J19" s="23"/>
      <c r="K19" s="21"/>
      <c r="L19" s="21"/>
      <c r="M19" s="21"/>
      <c r="N19" s="21"/>
      <c r="O19" s="21"/>
      <c r="P19" s="21"/>
      <c r="Q19" s="21"/>
      <c r="R19" s="22"/>
    </row>
    <row r="20" customFormat="false" ht="15" hidden="false" customHeight="false" outlineLevel="0" collapsed="false">
      <c r="A20" s="23"/>
      <c r="B20" s="21"/>
      <c r="C20" s="21"/>
      <c r="D20" s="21"/>
      <c r="E20" s="21"/>
      <c r="F20" s="21"/>
      <c r="G20" s="21"/>
      <c r="H20" s="21"/>
      <c r="I20" s="22"/>
      <c r="J20" s="23"/>
      <c r="K20" s="21"/>
      <c r="L20" s="21"/>
      <c r="M20" s="21"/>
      <c r="N20" s="21"/>
      <c r="O20" s="21"/>
      <c r="P20" s="21"/>
      <c r="Q20" s="21"/>
      <c r="R20" s="22"/>
    </row>
    <row r="21" customFormat="false" ht="15" hidden="false" customHeight="false" outlineLevel="0" collapsed="false">
      <c r="A21" s="23"/>
      <c r="B21" s="21"/>
      <c r="C21" s="21"/>
      <c r="D21" s="21"/>
      <c r="E21" s="21"/>
      <c r="F21" s="21"/>
      <c r="G21" s="21"/>
      <c r="H21" s="21"/>
      <c r="I21" s="22"/>
      <c r="J21" s="23"/>
      <c r="K21" s="21"/>
      <c r="L21" s="21"/>
      <c r="M21" s="21"/>
      <c r="N21" s="21"/>
      <c r="O21" s="21"/>
      <c r="P21" s="21"/>
      <c r="Q21" s="21"/>
      <c r="R21" s="22"/>
    </row>
    <row r="22" customFormat="false" ht="15" hidden="false" customHeight="false" outlineLevel="0" collapsed="false">
      <c r="A22" s="23"/>
      <c r="B22" s="21"/>
      <c r="C22" s="21"/>
      <c r="D22" s="21"/>
      <c r="E22" s="21"/>
      <c r="F22" s="21"/>
      <c r="G22" s="21"/>
      <c r="H22" s="21"/>
      <c r="I22" s="22"/>
      <c r="J22" s="23"/>
      <c r="K22" s="21"/>
      <c r="L22" s="21"/>
      <c r="M22" s="21"/>
      <c r="N22" s="21"/>
      <c r="O22" s="21"/>
      <c r="P22" s="21"/>
      <c r="Q22" s="21"/>
      <c r="R22" s="22"/>
    </row>
    <row r="23" customFormat="false" ht="15" hidden="false" customHeight="false" outlineLevel="0" collapsed="false">
      <c r="A23" s="23"/>
      <c r="B23" s="21"/>
      <c r="C23" s="21"/>
      <c r="D23" s="21"/>
      <c r="E23" s="21"/>
      <c r="F23" s="21"/>
      <c r="G23" s="21"/>
      <c r="H23" s="21"/>
      <c r="I23" s="22"/>
      <c r="J23" s="23"/>
      <c r="K23" s="21"/>
      <c r="L23" s="21"/>
      <c r="M23" s="21"/>
      <c r="N23" s="21"/>
      <c r="O23" s="21"/>
      <c r="P23" s="21"/>
      <c r="Q23" s="21"/>
      <c r="R23" s="22"/>
    </row>
    <row r="24" customFormat="false" ht="15" hidden="false" customHeight="false" outlineLevel="0" collapsed="false">
      <c r="A24" s="23"/>
      <c r="B24" s="21"/>
      <c r="C24" s="21"/>
      <c r="D24" s="21"/>
      <c r="E24" s="21"/>
      <c r="F24" s="21"/>
      <c r="G24" s="21"/>
      <c r="H24" s="21"/>
      <c r="I24" s="22"/>
      <c r="J24" s="23"/>
      <c r="K24" s="21"/>
      <c r="L24" s="21"/>
      <c r="M24" s="21"/>
      <c r="N24" s="21"/>
      <c r="O24" s="21"/>
      <c r="P24" s="21"/>
      <c r="Q24" s="21"/>
      <c r="R24" s="22"/>
    </row>
    <row r="25" customFormat="false" ht="15" hidden="false" customHeight="false" outlineLevel="0" collapsed="false">
      <c r="A25" s="23"/>
      <c r="B25" s="21"/>
      <c r="C25" s="21"/>
      <c r="D25" s="21"/>
      <c r="E25" s="21"/>
      <c r="F25" s="21"/>
      <c r="G25" s="21"/>
      <c r="H25" s="21"/>
      <c r="I25" s="22"/>
      <c r="J25" s="23"/>
      <c r="K25" s="21"/>
      <c r="L25" s="21"/>
      <c r="M25" s="21"/>
      <c r="N25" s="21"/>
      <c r="O25" s="21"/>
      <c r="P25" s="21"/>
      <c r="Q25" s="21"/>
      <c r="R25" s="22"/>
    </row>
    <row r="26" customFormat="false" ht="15" hidden="false" customHeight="false" outlineLevel="0" collapsed="false">
      <c r="A26" s="23"/>
      <c r="B26" s="21"/>
      <c r="C26" s="21"/>
      <c r="D26" s="21"/>
      <c r="E26" s="21"/>
      <c r="F26" s="21"/>
      <c r="G26" s="21"/>
      <c r="H26" s="21"/>
      <c r="I26" s="22"/>
      <c r="J26" s="23"/>
      <c r="K26" s="21"/>
      <c r="L26" s="21"/>
      <c r="M26" s="21"/>
      <c r="N26" s="21"/>
      <c r="O26" s="21"/>
      <c r="P26" s="21"/>
      <c r="Q26" s="21"/>
      <c r="R26" s="22"/>
    </row>
    <row r="27" customFormat="false" ht="15" hidden="false" customHeight="false" outlineLevel="0" collapsed="false">
      <c r="A27" s="23"/>
      <c r="B27" s="21"/>
      <c r="C27" s="21"/>
      <c r="D27" s="21"/>
      <c r="E27" s="21"/>
      <c r="F27" s="21"/>
      <c r="G27" s="21"/>
      <c r="H27" s="21"/>
      <c r="I27" s="22"/>
      <c r="J27" s="23"/>
      <c r="K27" s="21"/>
      <c r="L27" s="21"/>
      <c r="M27" s="21"/>
      <c r="N27" s="21"/>
      <c r="O27" s="21"/>
      <c r="P27" s="21"/>
      <c r="Q27" s="21"/>
      <c r="R27" s="22"/>
    </row>
    <row r="28" customFormat="false" ht="15" hidden="false" customHeight="false" outlineLevel="0" collapsed="false">
      <c r="A28" s="23"/>
      <c r="B28" s="21"/>
      <c r="C28" s="21"/>
      <c r="D28" s="21"/>
      <c r="E28" s="21"/>
      <c r="F28" s="21"/>
      <c r="G28" s="21"/>
      <c r="H28" s="21"/>
      <c r="I28" s="22"/>
      <c r="J28" s="23"/>
      <c r="K28" s="21"/>
      <c r="L28" s="21"/>
      <c r="M28" s="21"/>
      <c r="N28" s="21"/>
      <c r="O28" s="21"/>
      <c r="P28" s="21"/>
      <c r="Q28" s="21"/>
      <c r="R28" s="22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customFormat="false" ht="15" hidden="false" customHeight="false" outlineLevel="0" collapsed="false">
      <c r="A30" s="20" t="s">
        <v>10</v>
      </c>
      <c r="B30" s="21"/>
      <c r="C30" s="21"/>
      <c r="D30" s="21"/>
      <c r="E30" s="21"/>
      <c r="F30" s="21"/>
      <c r="G30" s="21"/>
      <c r="H30" s="21"/>
      <c r="I30" s="22"/>
      <c r="J30" s="20" t="s">
        <v>11</v>
      </c>
      <c r="K30" s="21"/>
      <c r="L30" s="21"/>
      <c r="M30" s="21"/>
      <c r="N30" s="21"/>
      <c r="O30" s="21"/>
      <c r="P30" s="21"/>
      <c r="Q30" s="21"/>
      <c r="R30" s="22"/>
    </row>
    <row r="31" customFormat="false" ht="15" hidden="false" customHeight="false" outlineLevel="0" collapsed="false">
      <c r="A31" s="23"/>
      <c r="B31" s="21"/>
      <c r="C31" s="21"/>
      <c r="D31" s="21"/>
      <c r="E31" s="21"/>
      <c r="F31" s="21"/>
      <c r="G31" s="21"/>
      <c r="H31" s="21"/>
      <c r="I31" s="22"/>
      <c r="J31" s="23"/>
      <c r="K31" s="21"/>
      <c r="L31" s="21"/>
      <c r="M31" s="21"/>
      <c r="N31" s="21"/>
      <c r="O31" s="21"/>
      <c r="P31" s="21"/>
      <c r="Q31" s="21"/>
      <c r="R31" s="22"/>
    </row>
    <row r="32" customFormat="false" ht="15" hidden="false" customHeight="false" outlineLevel="0" collapsed="false">
      <c r="A32" s="23"/>
      <c r="B32" s="21"/>
      <c r="C32" s="21"/>
      <c r="D32" s="21"/>
      <c r="E32" s="21"/>
      <c r="F32" s="21"/>
      <c r="G32" s="21"/>
      <c r="H32" s="21"/>
      <c r="I32" s="22"/>
      <c r="J32" s="23"/>
      <c r="K32" s="21"/>
      <c r="L32" s="21"/>
      <c r="M32" s="21"/>
      <c r="N32" s="21"/>
      <c r="O32" s="21"/>
      <c r="P32" s="21"/>
      <c r="Q32" s="21"/>
      <c r="R32" s="22"/>
    </row>
    <row r="33" customFormat="false" ht="15" hidden="false" customHeight="false" outlineLevel="0" collapsed="false">
      <c r="A33" s="23"/>
      <c r="B33" s="21"/>
      <c r="C33" s="21"/>
      <c r="D33" s="21"/>
      <c r="E33" s="21"/>
      <c r="F33" s="21"/>
      <c r="G33" s="21"/>
      <c r="H33" s="21"/>
      <c r="I33" s="22"/>
      <c r="J33" s="23"/>
      <c r="K33" s="21"/>
      <c r="L33" s="21"/>
      <c r="M33" s="21"/>
      <c r="N33" s="21"/>
      <c r="O33" s="21"/>
      <c r="P33" s="21"/>
      <c r="Q33" s="21"/>
      <c r="R33" s="22"/>
    </row>
    <row r="34" customFormat="false" ht="15" hidden="false" customHeight="false" outlineLevel="0" collapsed="false">
      <c r="A34" s="23"/>
      <c r="B34" s="21"/>
      <c r="C34" s="21"/>
      <c r="D34" s="21"/>
      <c r="E34" s="21"/>
      <c r="F34" s="21"/>
      <c r="G34" s="21"/>
      <c r="H34" s="21"/>
      <c r="I34" s="22"/>
      <c r="J34" s="23"/>
      <c r="K34" s="21"/>
      <c r="L34" s="21"/>
      <c r="M34" s="21"/>
      <c r="N34" s="21"/>
      <c r="O34" s="21"/>
      <c r="P34" s="21"/>
      <c r="Q34" s="21"/>
      <c r="R34" s="22"/>
    </row>
    <row r="35" customFormat="false" ht="15" hidden="false" customHeight="false" outlineLevel="0" collapsed="false">
      <c r="A35" s="23"/>
      <c r="B35" s="21"/>
      <c r="C35" s="21"/>
      <c r="D35" s="21"/>
      <c r="E35" s="21"/>
      <c r="F35" s="21"/>
      <c r="G35" s="21"/>
      <c r="H35" s="21"/>
      <c r="I35" s="22"/>
      <c r="J35" s="23"/>
      <c r="K35" s="21"/>
      <c r="L35" s="21"/>
      <c r="M35" s="21"/>
      <c r="N35" s="21"/>
      <c r="O35" s="21"/>
      <c r="P35" s="21"/>
      <c r="Q35" s="21"/>
      <c r="R35" s="22"/>
    </row>
    <row r="36" customFormat="false" ht="15" hidden="false" customHeight="false" outlineLevel="0" collapsed="false">
      <c r="A36" s="23"/>
      <c r="B36" s="21"/>
      <c r="C36" s="21"/>
      <c r="D36" s="21"/>
      <c r="E36" s="21"/>
      <c r="F36" s="21"/>
      <c r="G36" s="21"/>
      <c r="H36" s="21"/>
      <c r="I36" s="22"/>
      <c r="J36" s="23"/>
      <c r="K36" s="21"/>
      <c r="L36" s="21"/>
      <c r="M36" s="21"/>
      <c r="N36" s="21"/>
      <c r="O36" s="21"/>
      <c r="P36" s="21"/>
      <c r="Q36" s="21"/>
      <c r="R36" s="22"/>
    </row>
    <row r="37" customFormat="false" ht="15" hidden="false" customHeight="false" outlineLevel="0" collapsed="false">
      <c r="A37" s="23"/>
      <c r="B37" s="21"/>
      <c r="C37" s="21"/>
      <c r="D37" s="21"/>
      <c r="E37" s="21"/>
      <c r="F37" s="21"/>
      <c r="G37" s="21"/>
      <c r="H37" s="21"/>
      <c r="I37" s="22"/>
      <c r="J37" s="23"/>
      <c r="K37" s="21"/>
      <c r="L37" s="21"/>
      <c r="M37" s="21"/>
      <c r="N37" s="21"/>
      <c r="O37" s="21"/>
      <c r="P37" s="21"/>
      <c r="Q37" s="21"/>
      <c r="R37" s="22"/>
    </row>
    <row r="38" customFormat="false" ht="15" hidden="false" customHeight="false" outlineLevel="0" collapsed="false">
      <c r="A38" s="23"/>
      <c r="B38" s="21"/>
      <c r="C38" s="21"/>
      <c r="D38" s="21"/>
      <c r="E38" s="21"/>
      <c r="F38" s="21"/>
      <c r="G38" s="21"/>
      <c r="H38" s="21"/>
      <c r="I38" s="22"/>
      <c r="J38" s="23"/>
      <c r="K38" s="21"/>
      <c r="L38" s="21"/>
      <c r="M38" s="21"/>
      <c r="N38" s="21"/>
      <c r="O38" s="21"/>
      <c r="P38" s="21"/>
      <c r="Q38" s="21"/>
      <c r="R38" s="22"/>
    </row>
    <row r="39" customFormat="false" ht="15" hidden="false" customHeight="false" outlineLevel="0" collapsed="false">
      <c r="A39" s="23"/>
      <c r="B39" s="21"/>
      <c r="C39" s="21"/>
      <c r="D39" s="21"/>
      <c r="E39" s="21"/>
      <c r="F39" s="21"/>
      <c r="G39" s="21"/>
      <c r="H39" s="21"/>
      <c r="I39" s="22"/>
      <c r="J39" s="23"/>
      <c r="K39" s="21"/>
      <c r="L39" s="21"/>
      <c r="M39" s="21"/>
      <c r="N39" s="21"/>
      <c r="O39" s="21"/>
      <c r="P39" s="21"/>
      <c r="Q39" s="21"/>
      <c r="R39" s="22"/>
    </row>
    <row r="40" customFormat="false" ht="15" hidden="false" customHeight="false" outlineLevel="0" collapsed="false">
      <c r="A40" s="23"/>
      <c r="B40" s="21"/>
      <c r="C40" s="21"/>
      <c r="D40" s="21"/>
      <c r="E40" s="21"/>
      <c r="F40" s="21"/>
      <c r="G40" s="21"/>
      <c r="H40" s="21"/>
      <c r="I40" s="22"/>
      <c r="J40" s="23"/>
      <c r="K40" s="21"/>
      <c r="L40" s="21"/>
      <c r="M40" s="21"/>
      <c r="N40" s="21"/>
      <c r="O40" s="21"/>
      <c r="P40" s="21"/>
      <c r="Q40" s="21"/>
      <c r="R40" s="22"/>
    </row>
    <row r="41" customFormat="false" ht="15" hidden="false" customHeight="false" outlineLevel="0" collapsed="false">
      <c r="A41" s="23"/>
      <c r="B41" s="21"/>
      <c r="C41" s="21"/>
      <c r="D41" s="21"/>
      <c r="E41" s="21"/>
      <c r="F41" s="21"/>
      <c r="G41" s="21"/>
      <c r="H41" s="21"/>
      <c r="I41" s="22"/>
      <c r="J41" s="23"/>
      <c r="K41" s="21"/>
      <c r="L41" s="21"/>
      <c r="M41" s="21"/>
      <c r="N41" s="21"/>
      <c r="O41" s="21"/>
      <c r="P41" s="21"/>
      <c r="Q41" s="21"/>
      <c r="R41" s="22"/>
    </row>
    <row r="42" customFormat="false" ht="15" hidden="false" customHeight="false" outlineLevel="0" collapsed="false">
      <c r="A42" s="23"/>
      <c r="B42" s="21"/>
      <c r="C42" s="21"/>
      <c r="D42" s="21"/>
      <c r="E42" s="21"/>
      <c r="F42" s="21"/>
      <c r="G42" s="21"/>
      <c r="H42" s="21"/>
      <c r="I42" s="22"/>
      <c r="J42" s="23"/>
      <c r="K42" s="21"/>
      <c r="L42" s="21"/>
      <c r="M42" s="21"/>
      <c r="N42" s="21"/>
      <c r="O42" s="21"/>
      <c r="P42" s="21"/>
      <c r="Q42" s="21"/>
      <c r="R42" s="22"/>
    </row>
    <row r="43" customFormat="false" ht="15" hidden="false" customHeight="false" outlineLevel="0" collapsed="false">
      <c r="A43" s="23"/>
      <c r="B43" s="21"/>
      <c r="C43" s="21"/>
      <c r="D43" s="21"/>
      <c r="E43" s="21"/>
      <c r="F43" s="21"/>
      <c r="G43" s="21"/>
      <c r="H43" s="21"/>
      <c r="I43" s="22"/>
      <c r="J43" s="23"/>
      <c r="K43" s="21"/>
      <c r="L43" s="21"/>
      <c r="M43" s="21"/>
      <c r="N43" s="21"/>
      <c r="O43" s="21"/>
      <c r="P43" s="21"/>
      <c r="Q43" s="21"/>
      <c r="R43" s="22"/>
    </row>
    <row r="44" customFormat="false" ht="15" hidden="false" customHeight="false" outlineLevel="0" collapsed="false">
      <c r="A44" s="23"/>
      <c r="B44" s="21"/>
      <c r="C44" s="21"/>
      <c r="D44" s="21"/>
      <c r="E44" s="21"/>
      <c r="F44" s="21"/>
      <c r="G44" s="21"/>
      <c r="H44" s="21"/>
      <c r="I44" s="22"/>
      <c r="J44" s="23"/>
      <c r="K44" s="21"/>
      <c r="L44" s="21"/>
      <c r="M44" s="21"/>
      <c r="N44" s="21"/>
      <c r="O44" s="21"/>
      <c r="P44" s="21"/>
      <c r="Q44" s="21"/>
      <c r="R44" s="22"/>
    </row>
    <row r="45" customFormat="false" ht="15" hidden="false" customHeight="false" outlineLevel="0" collapsed="false">
      <c r="A45" s="23"/>
      <c r="B45" s="21"/>
      <c r="C45" s="21"/>
      <c r="D45" s="21"/>
      <c r="E45" s="21"/>
      <c r="F45" s="21"/>
      <c r="G45" s="21"/>
      <c r="H45" s="21"/>
      <c r="I45" s="22"/>
      <c r="J45" s="23"/>
      <c r="K45" s="21"/>
      <c r="L45" s="21"/>
      <c r="M45" s="21"/>
      <c r="N45" s="21"/>
      <c r="O45" s="21"/>
      <c r="P45" s="21"/>
      <c r="Q45" s="21"/>
      <c r="R45" s="22"/>
    </row>
    <row r="46" customFormat="false" ht="15" hidden="false" customHeight="false" outlineLevel="0" collapsed="false">
      <c r="A46" s="23"/>
      <c r="B46" s="21"/>
      <c r="C46" s="21"/>
      <c r="D46" s="21"/>
      <c r="E46" s="21"/>
      <c r="F46" s="21"/>
      <c r="G46" s="21"/>
      <c r="H46" s="21"/>
      <c r="I46" s="22"/>
      <c r="J46" s="23"/>
      <c r="K46" s="21"/>
      <c r="L46" s="21"/>
      <c r="M46" s="21"/>
      <c r="N46" s="21"/>
      <c r="O46" s="21"/>
      <c r="P46" s="21"/>
      <c r="Q46" s="21"/>
      <c r="R46" s="22"/>
    </row>
    <row r="47" customFormat="false" ht="15" hidden="false" customHeight="false" outlineLevel="0" collapsed="false">
      <c r="A47" s="23"/>
      <c r="B47" s="21"/>
      <c r="C47" s="21"/>
      <c r="D47" s="21"/>
      <c r="E47" s="21"/>
      <c r="F47" s="21"/>
      <c r="G47" s="21"/>
      <c r="H47" s="21"/>
      <c r="I47" s="22"/>
      <c r="J47" s="23"/>
      <c r="K47" s="21"/>
      <c r="L47" s="21"/>
      <c r="M47" s="21"/>
      <c r="N47" s="21"/>
      <c r="O47" s="21"/>
      <c r="P47" s="21"/>
      <c r="Q47" s="21"/>
      <c r="R47" s="22"/>
    </row>
    <row r="48" customFormat="false" ht="15" hidden="false" customHeight="false" outlineLevel="0" collapsed="false">
      <c r="A48" s="23"/>
      <c r="B48" s="21"/>
      <c r="C48" s="21"/>
      <c r="D48" s="21"/>
      <c r="E48" s="21"/>
      <c r="F48" s="21"/>
      <c r="G48" s="21"/>
      <c r="H48" s="21"/>
      <c r="I48" s="22"/>
      <c r="J48" s="23"/>
      <c r="K48" s="21"/>
      <c r="L48" s="21"/>
      <c r="M48" s="21"/>
      <c r="N48" s="21"/>
      <c r="O48" s="21"/>
      <c r="P48" s="21"/>
      <c r="Q48" s="21"/>
      <c r="R48" s="22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</sheetData>
  <mergeCells count="14">
    <mergeCell ref="A1:R2"/>
    <mergeCell ref="A3:R3"/>
    <mergeCell ref="A6:C6"/>
    <mergeCell ref="D6:F6"/>
    <mergeCell ref="G6:I6"/>
    <mergeCell ref="J6:L6"/>
    <mergeCell ref="M6:O6"/>
    <mergeCell ref="P6:R6"/>
    <mergeCell ref="A7:C8"/>
    <mergeCell ref="D7:F8"/>
    <mergeCell ref="G7:I8"/>
    <mergeCell ref="J7:L8"/>
    <mergeCell ref="M7:O8"/>
    <mergeCell ref="P7:R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1" min="2" style="0" width="19"/>
  </cols>
  <sheetData>
    <row r="1" customFormat="false" ht="19.7" hidden="false" customHeight="false" outlineLevel="0" collapsed="false">
      <c r="A1" s="24" t="s">
        <v>12</v>
      </c>
    </row>
    <row r="2" customFormat="false" ht="15" hidden="false" customHeight="false" outlineLevel="0" collapsed="false">
      <c r="A2" s="25" t="s">
        <v>13</v>
      </c>
    </row>
    <row r="4" customFormat="false" ht="25.5" hidden="false" customHeight="true" outlineLevel="0" collapsed="false">
      <c r="A4" s="26" t="s">
        <v>14</v>
      </c>
      <c r="B4" s="26" t="s">
        <v>15</v>
      </c>
      <c r="C4" s="26" t="s">
        <v>16</v>
      </c>
      <c r="D4" s="26" t="s">
        <v>17</v>
      </c>
      <c r="E4" s="26" t="s">
        <v>18</v>
      </c>
    </row>
    <row r="5" customFormat="false" ht="18.55" hidden="false" customHeight="false" outlineLevel="0" collapsed="false">
      <c r="A5" s="27" t="n">
        <f aca="false">COUNTA(Tracker!$A$2:$A$801)</f>
        <v>800</v>
      </c>
      <c r="B5" s="27" t="n">
        <f aca="false">COUNTIFS(Tracker!$F$2:$F$801,"Delivered")</f>
        <v>662</v>
      </c>
      <c r="C5" s="27" t="n">
        <f aca="false">COUNTIFS(Tracker!$F$2:$F$801,"In Transit")</f>
        <v>31</v>
      </c>
      <c r="D5" s="27" t="n">
        <f aca="false">COUNTIFS(Tracker!$F$2:$F$801,"Returned")</f>
        <v>55</v>
      </c>
      <c r="E5" s="27" t="n">
        <f aca="false">COUNTIFS(Tracker!$F$2:$F$801,"RTO")</f>
        <v>52</v>
      </c>
    </row>
    <row r="7" customFormat="false" ht="15" hidden="false" customHeight="false" outlineLevel="0" collapsed="false">
      <c r="A7" s="26" t="s">
        <v>19</v>
      </c>
      <c r="B7" s="26" t="s">
        <v>20</v>
      </c>
      <c r="C7" s="26" t="s">
        <v>21</v>
      </c>
      <c r="D7" s="26" t="s">
        <v>22</v>
      </c>
      <c r="E7" s="26" t="s">
        <v>23</v>
      </c>
    </row>
    <row r="8" customFormat="false" ht="18.55" hidden="false" customHeight="false" outlineLevel="0" collapsed="false">
      <c r="A8" s="28" t="n">
        <f aca="false">COUNTIFS(Tracker!$J$2:$J$801,"On Time")/(COUNTIFS(Tracker!$J$2:$J$801,"On Time")+COUNTIFS(Tracker!$J$2:$J$801,"Delayed"))</f>
        <v>0.606694560669456</v>
      </c>
      <c r="B8" s="29" t="n">
        <f aca="false">AVERAGE(Tracker!$I$2:$I$801)</f>
        <v>3.71548117154812</v>
      </c>
      <c r="C8" s="27" t="n">
        <f aca="false">COUNTIFS(Tracker!$J$2:$J$801,"Delayed")</f>
        <v>282</v>
      </c>
      <c r="D8" s="28" t="n">
        <f aca="false">D5/A5</f>
        <v>0.06875</v>
      </c>
      <c r="E8" s="28" t="n">
        <f aca="false">E5/A5</f>
        <v>0.065</v>
      </c>
    </row>
    <row r="11" customFormat="false" ht="15" hidden="false" customHeight="false" outlineLevel="0" collapsed="false">
      <c r="A11" s="30" t="s">
        <v>24</v>
      </c>
      <c r="J11" s="30" t="s">
        <v>10</v>
      </c>
    </row>
    <row r="12" customFormat="false" ht="15" hidden="false" customHeight="false" outlineLevel="0" collapsed="false">
      <c r="A12" s="31" t="s">
        <v>25</v>
      </c>
      <c r="B12" s="31" t="s">
        <v>26</v>
      </c>
      <c r="C12" s="31" t="s">
        <v>20</v>
      </c>
      <c r="D12" s="31" t="s">
        <v>27</v>
      </c>
      <c r="E12" s="31" t="s">
        <v>28</v>
      </c>
      <c r="F12" s="31" t="s">
        <v>29</v>
      </c>
      <c r="G12" s="31" t="s">
        <v>30</v>
      </c>
      <c r="J12" s="31" t="s">
        <v>31</v>
      </c>
      <c r="K12" s="31" t="s">
        <v>32</v>
      </c>
    </row>
    <row r="13" customFormat="false" ht="15" hidden="false" customHeight="false" outlineLevel="0" collapsed="false">
      <c r="A13" s="32" t="s">
        <v>33</v>
      </c>
      <c r="B13" s="32" t="n">
        <f aca="false">COUNTIFS(Tracker!$E$2:$E$801,A13)</f>
        <v>209</v>
      </c>
      <c r="C13" s="33" t="n">
        <f aca="false">IFERROR(AVERAGEIFS(Tracker!$I$2:$I$801,Tracker!$E$2:$E$801,A13),0)</f>
        <v>3.23369565217391</v>
      </c>
      <c r="D13" s="32" t="n">
        <f aca="false">COUNTIFS(Tracker!$E$2:$E$801,A13,Tracker!$J$2:$J$801,"Delayed")</f>
        <v>47</v>
      </c>
      <c r="E13" s="34" t="n">
        <f aca="false">IFERROR(COUNTIFS(Tracker!$E$2:$E$801,A13,Tracker!$J$2:$J$801,"On Time")/(COUNTIFS(Tracker!$E$2:$E$801,A13,Tracker!$J$2:$J$801,"On Time")+D13),0)</f>
        <v>0.744565217391304</v>
      </c>
      <c r="F13" s="32" t="n">
        <f aca="false">COUNTIFS(Tracker!$E$2:$E$801,A13,Tracker!$F$2:$F$801,"Returned")+COUNTIFS(Tracker!$E$2:$E$801,A13,Tracker!$F$2:$F$801,"RTO")</f>
        <v>23</v>
      </c>
      <c r="G13" s="34" t="n">
        <f aca="false">IFERROR(F13/B13,0)</f>
        <v>0.110047846889952</v>
      </c>
      <c r="J13" s="32" t="s">
        <v>15</v>
      </c>
      <c r="K13" s="32" t="n">
        <f aca="false">COUNTIFS(Tracker!$F$2:$F$801,J13)</f>
        <v>662</v>
      </c>
    </row>
    <row r="14" customFormat="false" ht="15" hidden="false" customHeight="false" outlineLevel="0" collapsed="false">
      <c r="A14" s="32" t="s">
        <v>34</v>
      </c>
      <c r="B14" s="32" t="n">
        <f aca="false">COUNTIFS(Tracker!$E$2:$E$801,A14)</f>
        <v>216</v>
      </c>
      <c r="C14" s="33" t="n">
        <f aca="false">IFERROR(AVERAGEIFS(Tracker!$I$2:$I$801,Tracker!$E$2:$E$801,A14),0)</f>
        <v>3.62564102564103</v>
      </c>
      <c r="D14" s="32" t="n">
        <f aca="false">COUNTIFS(Tracker!$E$2:$E$801,A14,Tracker!$J$2:$J$801,"Delayed")</f>
        <v>76</v>
      </c>
      <c r="E14" s="34" t="n">
        <f aca="false">IFERROR(COUNTIFS(Tracker!$E$2:$E$801,A14,Tracker!$J$2:$J$801,"On Time")/(COUNTIFS(Tracker!$E$2:$E$801,A14,Tracker!$J$2:$J$801,"On Time")+D14),0)</f>
        <v>0.61025641025641</v>
      </c>
      <c r="F14" s="32" t="n">
        <f aca="false">COUNTIFS(Tracker!$E$2:$E$801,A14,Tracker!$F$2:$F$801,"Returned")+COUNTIFS(Tracker!$E$2:$E$801,A14,Tracker!$F$2:$F$801,"RTO")</f>
        <v>30</v>
      </c>
      <c r="G14" s="34" t="n">
        <f aca="false">IFERROR(F14/B14,0)</f>
        <v>0.138888888888889</v>
      </c>
      <c r="J14" s="32" t="s">
        <v>16</v>
      </c>
      <c r="K14" s="32" t="n">
        <f aca="false">COUNTIFS(Tracker!$F$2:$F$801,J14)</f>
        <v>31</v>
      </c>
    </row>
    <row r="15" customFormat="false" ht="15" hidden="false" customHeight="false" outlineLevel="0" collapsed="false">
      <c r="A15" s="32" t="s">
        <v>35</v>
      </c>
      <c r="B15" s="32" t="n">
        <f aca="false">COUNTIFS(Tracker!$E$2:$E$801,A15)</f>
        <v>187</v>
      </c>
      <c r="C15" s="33" t="n">
        <f aca="false">IFERROR(AVERAGEIFS(Tracker!$I$2:$I$801,Tracker!$E$2:$E$801,A15),0)</f>
        <v>4.2093023255814</v>
      </c>
      <c r="D15" s="32" t="n">
        <f aca="false">COUNTIFS(Tracker!$E$2:$E$801,A15,Tracker!$J$2:$J$801,"Delayed")</f>
        <v>98</v>
      </c>
      <c r="E15" s="34" t="n">
        <f aca="false">IFERROR(COUNTIFS(Tracker!$E$2:$E$801,A15,Tracker!$J$2:$J$801,"On Time")/(COUNTIFS(Tracker!$E$2:$E$801,A15,Tracker!$J$2:$J$801,"On Time")+D15),0)</f>
        <v>0.430232558139535</v>
      </c>
      <c r="F15" s="32" t="n">
        <f aca="false">COUNTIFS(Tracker!$E$2:$E$801,A15,Tracker!$F$2:$F$801,"Returned")+COUNTIFS(Tracker!$E$2:$E$801,A15,Tracker!$F$2:$F$801,"RTO")</f>
        <v>23</v>
      </c>
      <c r="G15" s="34" t="n">
        <f aca="false">IFERROR(F15/B15,0)</f>
        <v>0.122994652406417</v>
      </c>
      <c r="J15" s="32" t="s">
        <v>17</v>
      </c>
      <c r="K15" s="32" t="n">
        <f aca="false">COUNTIFS(Tracker!$F$2:$F$801,J15)</f>
        <v>55</v>
      </c>
    </row>
    <row r="16" customFormat="false" ht="15" hidden="false" customHeight="false" outlineLevel="0" collapsed="false">
      <c r="A16" s="32" t="s">
        <v>36</v>
      </c>
      <c r="B16" s="32" t="n">
        <f aca="false">COUNTIFS(Tracker!$E$2:$E$801,A16)</f>
        <v>188</v>
      </c>
      <c r="C16" s="33" t="n">
        <f aca="false">IFERROR(AVERAGEIFS(Tracker!$I$2:$I$801,Tracker!$E$2:$E$801,A16),0)</f>
        <v>3.8433734939759</v>
      </c>
      <c r="D16" s="32" t="n">
        <f aca="false">COUNTIFS(Tracker!$E$2:$E$801,A16,Tracker!$J$2:$J$801,"Delayed")</f>
        <v>61</v>
      </c>
      <c r="E16" s="34" t="n">
        <f aca="false">IFERROR(COUNTIFS(Tracker!$E$2:$E$801,A16,Tracker!$J$2:$J$801,"On Time")/(COUNTIFS(Tracker!$E$2:$E$801,A16,Tracker!$J$2:$J$801,"On Time")+D16),0)</f>
        <v>0.632530120481928</v>
      </c>
      <c r="F16" s="32" t="n">
        <f aca="false">COUNTIFS(Tracker!$E$2:$E$801,A16,Tracker!$F$2:$F$801,"Returned")+COUNTIFS(Tracker!$E$2:$E$801,A16,Tracker!$F$2:$F$801,"RTO")</f>
        <v>31</v>
      </c>
      <c r="G16" s="34" t="n">
        <f aca="false">IFERROR(F16/B16,0)</f>
        <v>0.164893617021277</v>
      </c>
      <c r="J16" s="32" t="s">
        <v>18</v>
      </c>
      <c r="K16" s="32" t="n">
        <f aca="false">COUNTIFS(Tracker!$F$2:$F$801,J16)</f>
        <v>52</v>
      </c>
    </row>
    <row r="19" customFormat="false" ht="15" hidden="false" customHeight="false" outlineLevel="0" collapsed="false">
      <c r="A19" s="30" t="s">
        <v>9</v>
      </c>
      <c r="E19" s="30" t="s">
        <v>37</v>
      </c>
    </row>
    <row r="20" customFormat="false" ht="15" hidden="false" customHeight="false" outlineLevel="0" collapsed="false">
      <c r="A20" s="31" t="s">
        <v>38</v>
      </c>
      <c r="B20" s="31" t="s">
        <v>32</v>
      </c>
      <c r="C20" s="31" t="s">
        <v>39</v>
      </c>
      <c r="E20" s="31" t="s">
        <v>40</v>
      </c>
      <c r="F20" s="31" t="s">
        <v>26</v>
      </c>
      <c r="G20" s="31" t="s">
        <v>41</v>
      </c>
      <c r="H20" s="31" t="s">
        <v>42</v>
      </c>
    </row>
    <row r="21" customFormat="false" ht="15" hidden="false" customHeight="false" outlineLevel="0" collapsed="false">
      <c r="A21" s="32" t="s">
        <v>43</v>
      </c>
      <c r="B21" s="32" t="n">
        <f aca="false">COUNTIFS(Tracker!$G$2:$G$801,A21)</f>
        <v>22</v>
      </c>
      <c r="C21" s="34" t="n">
        <f aca="false">IFERROR(B21/SUM($B$21:$B$25),0)</f>
        <v>0.205607476635514</v>
      </c>
      <c r="E21" s="32" t="s">
        <v>44</v>
      </c>
      <c r="F21" s="32" t="n">
        <f aca="false">COUNTIFS(Tracker!$D$2:$D$801,E21)</f>
        <v>178</v>
      </c>
      <c r="G21" s="33" t="n">
        <f aca="false">IFERROR(AVERAGEIFS(Tracker!$I$2:$I$801,Tracker!$D$2:$D$801,E21),0)</f>
        <v>3.14838709677419</v>
      </c>
      <c r="H21" s="34" t="n">
        <f aca="false">IFERROR(COUNTIFS(Tracker!$D$2:$D$801,E21,Tracker!$J$2:$J$801,"Delayed")/(COUNTIFS(Tracker!$D$2:$D$801,E21,Tracker!$J$2:$J$801,"Delayed")+COUNTIFS(Tracker!$D$2:$D$801,E21,Tracker!$J$2:$J$801,"On Time")),0)</f>
        <v>0.380645161290323</v>
      </c>
    </row>
    <row r="22" customFormat="false" ht="15" hidden="false" customHeight="false" outlineLevel="0" collapsed="false">
      <c r="A22" s="32" t="s">
        <v>45</v>
      </c>
      <c r="B22" s="32" t="n">
        <f aca="false">COUNTIFS(Tracker!$G$2:$G$801,A22)</f>
        <v>13</v>
      </c>
      <c r="C22" s="34" t="n">
        <f aca="false">IFERROR(B22/SUM($B$21:$B$25),0)</f>
        <v>0.121495327102804</v>
      </c>
      <c r="E22" s="32" t="s">
        <v>46</v>
      </c>
      <c r="F22" s="32" t="n">
        <f aca="false">COUNTIFS(Tracker!$D$2:$D$801,E22)</f>
        <v>171</v>
      </c>
      <c r="G22" s="33" t="n">
        <f aca="false">IFERROR(AVERAGEIFS(Tracker!$I$2:$I$801,Tracker!$D$2:$D$801,E22),0)</f>
        <v>3.19354838709677</v>
      </c>
      <c r="H22" s="34" t="n">
        <f aca="false">IFERROR(COUNTIFS(Tracker!$D$2:$D$801,E22,Tracker!$J$2:$J$801,"Delayed")/(COUNTIFS(Tracker!$D$2:$D$801,E22,Tracker!$J$2:$J$801,"Delayed")+COUNTIFS(Tracker!$D$2:$D$801,E22,Tracker!$J$2:$J$801,"On Time")),0)</f>
        <v>0.406451612903226</v>
      </c>
    </row>
    <row r="23" customFormat="false" ht="15" hidden="false" customHeight="false" outlineLevel="0" collapsed="false">
      <c r="A23" s="32" t="s">
        <v>47</v>
      </c>
      <c r="B23" s="32" t="n">
        <f aca="false">COUNTIFS(Tracker!$G$2:$G$801,A23)</f>
        <v>26</v>
      </c>
      <c r="C23" s="34" t="n">
        <f aca="false">IFERROR(B23/SUM($B$21:$B$25),0)</f>
        <v>0.242990654205607</v>
      </c>
      <c r="E23" s="32" t="s">
        <v>48</v>
      </c>
      <c r="F23" s="32" t="n">
        <f aca="false">COUNTIFS(Tracker!$D$2:$D$801,E23)</f>
        <v>123</v>
      </c>
      <c r="G23" s="33" t="n">
        <f aca="false">IFERROR(AVERAGEIFS(Tracker!$I$2:$I$801,Tracker!$D$2:$D$801,E23),0)</f>
        <v>3.31818181818182</v>
      </c>
      <c r="H23" s="34" t="n">
        <f aca="false">IFERROR(COUNTIFS(Tracker!$D$2:$D$801,E23,Tracker!$J$2:$J$801,"Delayed")/(COUNTIFS(Tracker!$D$2:$D$801,E23,Tracker!$J$2:$J$801,"Delayed")+COUNTIFS(Tracker!$D$2:$D$801,E23,Tracker!$J$2:$J$801,"On Time")),0)</f>
        <v>0.436363636363636</v>
      </c>
    </row>
    <row r="24" customFormat="false" ht="15" hidden="false" customHeight="false" outlineLevel="0" collapsed="false">
      <c r="A24" s="32" t="s">
        <v>49</v>
      </c>
      <c r="B24" s="32" t="n">
        <f aca="false">COUNTIFS(Tracker!$G$2:$G$801,A24)</f>
        <v>27</v>
      </c>
      <c r="C24" s="34" t="n">
        <f aca="false">IFERROR(B24/SUM($B$21:$B$25),0)</f>
        <v>0.252336448598131</v>
      </c>
      <c r="E24" s="32" t="s">
        <v>50</v>
      </c>
      <c r="F24" s="32" t="n">
        <f aca="false">COUNTIFS(Tracker!$D$2:$D$801,E24)</f>
        <v>115</v>
      </c>
      <c r="G24" s="33" t="n">
        <f aca="false">IFERROR(AVERAGEIFS(Tracker!$I$2:$I$801,Tracker!$D$2:$D$801,E24),0)</f>
        <v>3.06603773584906</v>
      </c>
      <c r="H24" s="34" t="n">
        <f aca="false">IFERROR(COUNTIFS(Tracker!$D$2:$D$801,E24,Tracker!$J$2:$J$801,"Delayed")/(COUNTIFS(Tracker!$D$2:$D$801,E24,Tracker!$J$2:$J$801,"Delayed")+COUNTIFS(Tracker!$D$2:$D$801,E24,Tracker!$J$2:$J$801,"On Time")),0)</f>
        <v>0.349056603773585</v>
      </c>
    </row>
    <row r="25" customFormat="false" ht="15" hidden="false" customHeight="false" outlineLevel="0" collapsed="false">
      <c r="A25" s="32" t="s">
        <v>51</v>
      </c>
      <c r="B25" s="32" t="n">
        <f aca="false">COUNTIFS(Tracker!$G$2:$G$801,A25)</f>
        <v>19</v>
      </c>
      <c r="C25" s="34" t="n">
        <f aca="false">IFERROR(B25/SUM($B$21:$B$25),0)</f>
        <v>0.177570093457944</v>
      </c>
      <c r="E25" s="32" t="s">
        <v>52</v>
      </c>
      <c r="F25" s="32" t="n">
        <f aca="false">COUNTIFS(Tracker!$D$2:$D$801,E25)</f>
        <v>49</v>
      </c>
      <c r="G25" s="33" t="n">
        <f aca="false">IFERROR(AVERAGEIFS(Tracker!$I$2:$I$801,Tracker!$D$2:$D$801,E25),0)</f>
        <v>4.13953488372093</v>
      </c>
      <c r="H25" s="34" t="n">
        <f aca="false">IFERROR(COUNTIFS(Tracker!$D$2:$D$801,E25,Tracker!$J$2:$J$801,"Delayed")/(COUNTIFS(Tracker!$D$2:$D$801,E25,Tracker!$J$2:$J$801,"Delayed")+COUNTIFS(Tracker!$D$2:$D$801,E25,Tracker!$J$2:$J$801,"On Time")),0)</f>
        <v>0.348837209302326</v>
      </c>
    </row>
    <row r="26" customFormat="false" ht="15" hidden="false" customHeight="false" outlineLevel="0" collapsed="false">
      <c r="E26" s="32" t="s">
        <v>53</v>
      </c>
      <c r="F26" s="32" t="n">
        <f aca="false">COUNTIFS(Tracker!$D$2:$D$801,E26)</f>
        <v>56</v>
      </c>
      <c r="G26" s="33" t="n">
        <f aca="false">IFERROR(AVERAGEIFS(Tracker!$I$2:$I$801,Tracker!$D$2:$D$801,E26),0)</f>
        <v>5.26530612244898</v>
      </c>
      <c r="H26" s="34" t="n">
        <f aca="false">IFERROR(COUNTIFS(Tracker!$D$2:$D$801,E26,Tracker!$J$2:$J$801,"Delayed")/(COUNTIFS(Tracker!$D$2:$D$801,E26,Tracker!$J$2:$J$801,"Delayed")+COUNTIFS(Tracker!$D$2:$D$801,E26,Tracker!$J$2:$J$801,"On Time")),0)</f>
        <v>0.469387755102041</v>
      </c>
    </row>
    <row r="27" customFormat="false" ht="15" hidden="false" customHeight="false" outlineLevel="0" collapsed="false">
      <c r="E27" s="32" t="s">
        <v>54</v>
      </c>
      <c r="F27" s="32" t="n">
        <f aca="false">COUNTIFS(Tracker!$D$2:$D$801,E27)</f>
        <v>44</v>
      </c>
      <c r="G27" s="33" t="n">
        <f aca="false">IFERROR(AVERAGEIFS(Tracker!$I$2:$I$801,Tracker!$D$2:$D$801,E27),0)</f>
        <v>5.10526315789474</v>
      </c>
      <c r="H27" s="34" t="n">
        <f aca="false">IFERROR(COUNTIFS(Tracker!$D$2:$D$801,E27,Tracker!$J$2:$J$801,"Delayed")/(COUNTIFS(Tracker!$D$2:$D$801,E27,Tracker!$J$2:$J$801,"Delayed")+COUNTIFS(Tracker!$D$2:$D$801,E27,Tracker!$J$2:$J$801,"On Time")),0)</f>
        <v>0.394736842105263</v>
      </c>
    </row>
    <row r="28" customFormat="false" ht="15" hidden="false" customHeight="false" outlineLevel="0" collapsed="false">
      <c r="E28" s="32" t="s">
        <v>55</v>
      </c>
      <c r="F28" s="32" t="n">
        <f aca="false">COUNTIFS(Tracker!$D$2:$D$801,E28)</f>
        <v>29</v>
      </c>
      <c r="G28" s="33" t="n">
        <f aca="false">IFERROR(AVERAGEIFS(Tracker!$I$2:$I$801,Tracker!$D$2:$D$801,E28),0)</f>
        <v>5</v>
      </c>
      <c r="H28" s="34" t="n">
        <f aca="false">IFERROR(COUNTIFS(Tracker!$D$2:$D$801,E28,Tracker!$J$2:$J$801,"Delayed")/(COUNTIFS(Tracker!$D$2:$D$801,E28,Tracker!$J$2:$J$801,"Delayed")+COUNTIFS(Tracker!$D$2:$D$801,E28,Tracker!$J$2:$J$801,"On Time")),0)</f>
        <v>0.307692307692308</v>
      </c>
    </row>
    <row r="29" customFormat="false" ht="15" hidden="false" customHeight="false" outlineLevel="0" collapsed="false">
      <c r="E29" s="32" t="s">
        <v>56</v>
      </c>
      <c r="F29" s="32" t="n">
        <f aca="false">COUNTIFS(Tracker!$D$2:$D$801,E29)</f>
        <v>19</v>
      </c>
      <c r="G29" s="33" t="n">
        <f aca="false">IFERROR(AVERAGEIFS(Tracker!$I$2:$I$801,Tracker!$D$2:$D$801,E29),0)</f>
        <v>5.78947368421053</v>
      </c>
      <c r="H29" s="34" t="n">
        <f aca="false">IFERROR(COUNTIFS(Tracker!$D$2:$D$801,E29,Tracker!$J$2:$J$801,"Delayed")/(COUNTIFS(Tracker!$D$2:$D$801,E29,Tracker!$J$2:$J$801,"Delayed")+COUNTIFS(Tracker!$D$2:$D$801,E29,Tracker!$J$2:$J$801,"On Time")),0)</f>
        <v>0.315789473684211</v>
      </c>
    </row>
    <row r="30" customFormat="false" ht="15" hidden="false" customHeight="false" outlineLevel="0" collapsed="false">
      <c r="E30" s="32" t="s">
        <v>57</v>
      </c>
      <c r="F30" s="32" t="n">
        <f aca="false">COUNTIFS(Tracker!$D$2:$D$801,E30)</f>
        <v>16</v>
      </c>
      <c r="G30" s="33" t="n">
        <f aca="false">IFERROR(AVERAGEIFS(Tracker!$I$2:$I$801,Tracker!$D$2:$D$801,E30),0)</f>
        <v>7.5625</v>
      </c>
      <c r="H30" s="34" t="n">
        <f aca="false">IFERROR(COUNTIFS(Tracker!$D$2:$D$801,E30,Tracker!$J$2:$J$801,"Delayed")/(COUNTIFS(Tracker!$D$2:$D$801,E30,Tracker!$J$2:$J$801,"Delayed")+COUNTIFS(Tracker!$D$2:$D$801,E30,Tracker!$J$2:$J$801,"On Time")),0)</f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9" min="8" style="0" width="10"/>
    <col collapsed="false" customWidth="true" hidden="false" outlineLevel="0" max="10" min="10" style="0" width="13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31" t="s">
        <v>58</v>
      </c>
      <c r="B1" s="31" t="s">
        <v>59</v>
      </c>
      <c r="C1" s="31" t="s">
        <v>60</v>
      </c>
      <c r="D1" s="31" t="s">
        <v>40</v>
      </c>
      <c r="E1" s="31" t="s">
        <v>25</v>
      </c>
      <c r="F1" s="31" t="s">
        <v>31</v>
      </c>
      <c r="G1" s="31" t="s">
        <v>61</v>
      </c>
      <c r="H1" s="31" t="s">
        <v>62</v>
      </c>
      <c r="I1" s="31" t="s">
        <v>63</v>
      </c>
      <c r="J1" s="31" t="s">
        <v>64</v>
      </c>
      <c r="K1" s="31" t="s">
        <v>65</v>
      </c>
    </row>
    <row r="2" customFormat="false" ht="15" hidden="false" customHeight="false" outlineLevel="0" collapsed="false">
      <c r="A2" s="35" t="s">
        <v>66</v>
      </c>
      <c r="B2" s="36" t="n">
        <v>46204</v>
      </c>
      <c r="C2" s="36" t="n">
        <v>46209</v>
      </c>
      <c r="D2" s="35" t="s">
        <v>55</v>
      </c>
      <c r="E2" s="35" t="s">
        <v>35</v>
      </c>
      <c r="F2" s="35" t="s">
        <v>15</v>
      </c>
      <c r="G2" s="35"/>
      <c r="H2" s="37" t="n">
        <f aca="false">IFERROR(VLOOKUP(D2,Settings!$A$5:$C$14,3,FALSE()),"")</f>
        <v>5</v>
      </c>
      <c r="I2" s="37" t="n">
        <f aca="false">IF(C2="","",C2-B2)</f>
        <v>5</v>
      </c>
      <c r="J2" s="38" t="str">
        <f aca="false">IF(I2="","",IF(I2&gt;H2,"Delayed","On Time"))</f>
        <v>On Time</v>
      </c>
      <c r="K2" s="37" t="str">
        <f aca="false">IF(J2="Delayed",I2-H2,"")</f>
        <v/>
      </c>
    </row>
    <row r="3" customFormat="false" ht="15" hidden="false" customHeight="false" outlineLevel="0" collapsed="false">
      <c r="A3" s="35" t="s">
        <v>67</v>
      </c>
      <c r="B3" s="36" t="n">
        <v>46204</v>
      </c>
      <c r="C3" s="36" t="n">
        <v>46207</v>
      </c>
      <c r="D3" s="35" t="s">
        <v>46</v>
      </c>
      <c r="E3" s="35" t="s">
        <v>36</v>
      </c>
      <c r="F3" s="35" t="s">
        <v>15</v>
      </c>
      <c r="G3" s="35"/>
      <c r="H3" s="37" t="n">
        <f aca="false">IFERROR(VLOOKUP(D3,Settings!$A$5:$C$14,3,FALSE()),"")</f>
        <v>3</v>
      </c>
      <c r="I3" s="37" t="n">
        <f aca="false">IF(C3="","",C3-B3)</f>
        <v>3</v>
      </c>
      <c r="J3" s="38" t="str">
        <f aca="false">IF(I3="","",IF(I3&gt;H3,"Delayed","On Time"))</f>
        <v>On Time</v>
      </c>
      <c r="K3" s="37" t="str">
        <f aca="false">IF(J3="Delayed",I3-H3,"")</f>
        <v/>
      </c>
    </row>
    <row r="4" customFormat="false" ht="15" hidden="false" customHeight="false" outlineLevel="0" collapsed="false">
      <c r="A4" s="35" t="s">
        <v>68</v>
      </c>
      <c r="B4" s="36" t="n">
        <v>46204</v>
      </c>
      <c r="C4" s="36" t="n">
        <v>46208</v>
      </c>
      <c r="D4" s="35" t="s">
        <v>53</v>
      </c>
      <c r="E4" s="35" t="s">
        <v>36</v>
      </c>
      <c r="F4" s="35" t="s">
        <v>15</v>
      </c>
      <c r="G4" s="35"/>
      <c r="H4" s="37" t="n">
        <f aca="false">IFERROR(VLOOKUP(D4,Settings!$A$5:$C$14,3,FALSE()),"")</f>
        <v>5</v>
      </c>
      <c r="I4" s="37" t="n">
        <f aca="false">IF(C4="","",C4-B4)</f>
        <v>4</v>
      </c>
      <c r="J4" s="38" t="str">
        <f aca="false">IF(I4="","",IF(I4&gt;H4,"Delayed","On Time"))</f>
        <v>On Time</v>
      </c>
      <c r="K4" s="37" t="str">
        <f aca="false">IF(J4="Delayed",I4-H4,"")</f>
        <v/>
      </c>
    </row>
    <row r="5" customFormat="false" ht="15" hidden="false" customHeight="false" outlineLevel="0" collapsed="false">
      <c r="A5" s="35" t="s">
        <v>69</v>
      </c>
      <c r="B5" s="36" t="n">
        <v>46204</v>
      </c>
      <c r="C5" s="36" t="n">
        <v>46209</v>
      </c>
      <c r="D5" s="35" t="s">
        <v>44</v>
      </c>
      <c r="E5" s="35" t="s">
        <v>34</v>
      </c>
      <c r="F5" s="35" t="s">
        <v>15</v>
      </c>
      <c r="G5" s="35"/>
      <c r="H5" s="37" t="n">
        <f aca="false">IFERROR(VLOOKUP(D5,Settings!$A$5:$C$14,3,FALSE()),"")</f>
        <v>3</v>
      </c>
      <c r="I5" s="37" t="n">
        <f aca="false">IF(C5="","",C5-B5)</f>
        <v>5</v>
      </c>
      <c r="J5" s="38" t="str">
        <f aca="false">IF(I5="","",IF(I5&gt;H5,"Delayed","On Time"))</f>
        <v>Delayed</v>
      </c>
      <c r="K5" s="37" t="n">
        <f aca="false">IF(J5="Delayed",I5-H5,"")</f>
        <v>2</v>
      </c>
    </row>
    <row r="6" customFormat="false" ht="15" hidden="false" customHeight="false" outlineLevel="0" collapsed="false">
      <c r="A6" s="35" t="s">
        <v>70</v>
      </c>
      <c r="B6" s="36" t="n">
        <v>46204</v>
      </c>
      <c r="C6" s="36" t="n">
        <v>46208</v>
      </c>
      <c r="D6" s="35" t="s">
        <v>53</v>
      </c>
      <c r="E6" s="35" t="s">
        <v>34</v>
      </c>
      <c r="F6" s="35" t="s">
        <v>15</v>
      </c>
      <c r="G6" s="35"/>
      <c r="H6" s="37" t="n">
        <f aca="false">IFERROR(VLOOKUP(D6,Settings!$A$5:$C$14,3,FALSE()),"")</f>
        <v>5</v>
      </c>
      <c r="I6" s="37" t="n">
        <f aca="false">IF(C6="","",C6-B6)</f>
        <v>4</v>
      </c>
      <c r="J6" s="38" t="str">
        <f aca="false">IF(I6="","",IF(I6&gt;H6,"Delayed","On Time"))</f>
        <v>On Time</v>
      </c>
      <c r="K6" s="37" t="str">
        <f aca="false">IF(J6="Delayed",I6-H6,"")</f>
        <v/>
      </c>
    </row>
    <row r="7" customFormat="false" ht="15" hidden="false" customHeight="false" outlineLevel="0" collapsed="false">
      <c r="A7" s="35" t="s">
        <v>71</v>
      </c>
      <c r="B7" s="36" t="n">
        <v>46205</v>
      </c>
      <c r="C7" s="36"/>
      <c r="D7" s="35" t="s">
        <v>53</v>
      </c>
      <c r="E7" s="35" t="s">
        <v>33</v>
      </c>
      <c r="F7" s="35" t="s">
        <v>18</v>
      </c>
      <c r="G7" s="35" t="s">
        <v>49</v>
      </c>
      <c r="H7" s="37" t="n">
        <f aca="false">IFERROR(VLOOKUP(D7,Settings!$A$5:$C$14,3,FALSE()),"")</f>
        <v>5</v>
      </c>
      <c r="I7" s="37" t="str">
        <f aca="false">IF(C7="","",C7-B7)</f>
        <v/>
      </c>
      <c r="J7" s="38" t="str">
        <f aca="false">IF(I7="","",IF(I7&gt;H7,"Delayed","On Time"))</f>
        <v/>
      </c>
      <c r="K7" s="37" t="str">
        <f aca="false">IF(J7="Delayed",I7-H7,"")</f>
        <v/>
      </c>
    </row>
    <row r="8" customFormat="false" ht="15" hidden="false" customHeight="false" outlineLevel="0" collapsed="false">
      <c r="A8" s="35" t="s">
        <v>72</v>
      </c>
      <c r="B8" s="36" t="n">
        <v>46205</v>
      </c>
      <c r="C8" s="36" t="n">
        <v>46210</v>
      </c>
      <c r="D8" s="35" t="s">
        <v>53</v>
      </c>
      <c r="E8" s="35" t="s">
        <v>35</v>
      </c>
      <c r="F8" s="35" t="s">
        <v>15</v>
      </c>
      <c r="G8" s="35"/>
      <c r="H8" s="37" t="n">
        <f aca="false">IFERROR(VLOOKUP(D8,Settings!$A$5:$C$14,3,FALSE()),"")</f>
        <v>5</v>
      </c>
      <c r="I8" s="37" t="n">
        <f aca="false">IF(C8="","",C8-B8)</f>
        <v>5</v>
      </c>
      <c r="J8" s="38" t="str">
        <f aca="false">IF(I8="","",IF(I8&gt;H8,"Delayed","On Time"))</f>
        <v>On Time</v>
      </c>
      <c r="K8" s="37" t="str">
        <f aca="false">IF(J8="Delayed",I8-H8,"")</f>
        <v/>
      </c>
    </row>
    <row r="9" customFormat="false" ht="15" hidden="false" customHeight="false" outlineLevel="0" collapsed="false">
      <c r="A9" s="35" t="s">
        <v>73</v>
      </c>
      <c r="B9" s="36" t="n">
        <v>46205</v>
      </c>
      <c r="C9" s="36" t="n">
        <v>46207</v>
      </c>
      <c r="D9" s="35" t="s">
        <v>44</v>
      </c>
      <c r="E9" s="35" t="s">
        <v>36</v>
      </c>
      <c r="F9" s="35" t="s">
        <v>15</v>
      </c>
      <c r="G9" s="35"/>
      <c r="H9" s="37" t="n">
        <f aca="false">IFERROR(VLOOKUP(D9,Settings!$A$5:$C$14,3,FALSE()),"")</f>
        <v>3</v>
      </c>
      <c r="I9" s="37" t="n">
        <f aca="false">IF(C9="","",C9-B9)</f>
        <v>2</v>
      </c>
      <c r="J9" s="38" t="str">
        <f aca="false">IF(I9="","",IF(I9&gt;H9,"Delayed","On Time"))</f>
        <v>On Time</v>
      </c>
      <c r="K9" s="37" t="str">
        <f aca="false">IF(J9="Delayed",I9-H9,"")</f>
        <v/>
      </c>
    </row>
    <row r="10" customFormat="false" ht="15" hidden="false" customHeight="false" outlineLevel="0" collapsed="false">
      <c r="A10" s="35" t="s">
        <v>74</v>
      </c>
      <c r="B10" s="36" t="n">
        <v>46205</v>
      </c>
      <c r="C10" s="36" t="n">
        <v>46207</v>
      </c>
      <c r="D10" s="35" t="s">
        <v>50</v>
      </c>
      <c r="E10" s="35" t="s">
        <v>34</v>
      </c>
      <c r="F10" s="35" t="s">
        <v>15</v>
      </c>
      <c r="G10" s="35"/>
      <c r="H10" s="37" t="n">
        <f aca="false">IFERROR(VLOOKUP(D10,Settings!$A$5:$C$14,3,FALSE()),"")</f>
        <v>3</v>
      </c>
      <c r="I10" s="37" t="n">
        <f aca="false">IF(C10="","",C10-B10)</f>
        <v>2</v>
      </c>
      <c r="J10" s="38" t="str">
        <f aca="false">IF(I10="","",IF(I10&gt;H10,"Delayed","On Time"))</f>
        <v>On Time</v>
      </c>
      <c r="K10" s="37" t="str">
        <f aca="false">IF(J10="Delayed",I10-H10,"")</f>
        <v/>
      </c>
    </row>
    <row r="11" customFormat="false" ht="15" hidden="false" customHeight="false" outlineLevel="0" collapsed="false">
      <c r="A11" s="35" t="s">
        <v>75</v>
      </c>
      <c r="B11" s="36" t="n">
        <v>46205</v>
      </c>
      <c r="C11" s="36" t="n">
        <v>46211</v>
      </c>
      <c r="D11" s="35" t="s">
        <v>44</v>
      </c>
      <c r="E11" s="35" t="s">
        <v>33</v>
      </c>
      <c r="F11" s="35" t="s">
        <v>15</v>
      </c>
      <c r="G11" s="35"/>
      <c r="H11" s="37" t="n">
        <f aca="false">IFERROR(VLOOKUP(D11,Settings!$A$5:$C$14,3,FALSE()),"")</f>
        <v>3</v>
      </c>
      <c r="I11" s="37" t="n">
        <f aca="false">IF(C11="","",C11-B11)</f>
        <v>6</v>
      </c>
      <c r="J11" s="38" t="str">
        <f aca="false">IF(I11="","",IF(I11&gt;H11,"Delayed","On Time"))</f>
        <v>Delayed</v>
      </c>
      <c r="K11" s="37" t="n">
        <f aca="false">IF(J11="Delayed",I11-H11,"")</f>
        <v>3</v>
      </c>
    </row>
    <row r="12" customFormat="false" ht="15" hidden="false" customHeight="false" outlineLevel="0" collapsed="false">
      <c r="A12" s="35" t="s">
        <v>76</v>
      </c>
      <c r="B12" s="36" t="n">
        <v>46205</v>
      </c>
      <c r="C12" s="36" t="n">
        <v>46208</v>
      </c>
      <c r="D12" s="35" t="s">
        <v>50</v>
      </c>
      <c r="E12" s="35" t="s">
        <v>34</v>
      </c>
      <c r="F12" s="35" t="s">
        <v>15</v>
      </c>
      <c r="G12" s="35"/>
      <c r="H12" s="37" t="n">
        <f aca="false">IFERROR(VLOOKUP(D12,Settings!$A$5:$C$14,3,FALSE()),"")</f>
        <v>3</v>
      </c>
      <c r="I12" s="37" t="n">
        <f aca="false">IF(C12="","",C12-B12)</f>
        <v>3</v>
      </c>
      <c r="J12" s="38" t="str">
        <f aca="false">IF(I12="","",IF(I12&gt;H12,"Delayed","On Time"))</f>
        <v>On Time</v>
      </c>
      <c r="K12" s="37" t="str">
        <f aca="false">IF(J12="Delayed",I12-H12,"")</f>
        <v/>
      </c>
    </row>
    <row r="13" customFormat="false" ht="15" hidden="false" customHeight="false" outlineLevel="0" collapsed="false">
      <c r="A13" s="35" t="s">
        <v>77</v>
      </c>
      <c r="B13" s="36" t="n">
        <v>46205</v>
      </c>
      <c r="C13" s="36" t="n">
        <v>46208</v>
      </c>
      <c r="D13" s="35" t="s">
        <v>48</v>
      </c>
      <c r="E13" s="35" t="s">
        <v>36</v>
      </c>
      <c r="F13" s="35" t="s">
        <v>15</v>
      </c>
      <c r="G13" s="35"/>
      <c r="H13" s="37" t="n">
        <f aca="false">IFERROR(VLOOKUP(D13,Settings!$A$5:$C$14,3,FALSE()),"")</f>
        <v>3</v>
      </c>
      <c r="I13" s="37" t="n">
        <f aca="false">IF(C13="","",C13-B13)</f>
        <v>3</v>
      </c>
      <c r="J13" s="38" t="str">
        <f aca="false">IF(I13="","",IF(I13&gt;H13,"Delayed","On Time"))</f>
        <v>On Time</v>
      </c>
      <c r="K13" s="37" t="str">
        <f aca="false">IF(J13="Delayed",I13-H13,"")</f>
        <v/>
      </c>
    </row>
    <row r="14" customFormat="false" ht="15" hidden="false" customHeight="false" outlineLevel="0" collapsed="false">
      <c r="A14" s="35" t="s">
        <v>78</v>
      </c>
      <c r="B14" s="36" t="n">
        <v>46205</v>
      </c>
      <c r="C14" s="36"/>
      <c r="D14" s="35" t="s">
        <v>44</v>
      </c>
      <c r="E14" s="35" t="s">
        <v>35</v>
      </c>
      <c r="F14" s="35" t="s">
        <v>18</v>
      </c>
      <c r="G14" s="35" t="s">
        <v>47</v>
      </c>
      <c r="H14" s="37" t="n">
        <f aca="false">IFERROR(VLOOKUP(D14,Settings!$A$5:$C$14,3,FALSE()),"")</f>
        <v>3</v>
      </c>
      <c r="I14" s="37" t="str">
        <f aca="false">IF(C14="","",C14-B14)</f>
        <v/>
      </c>
      <c r="J14" s="38" t="str">
        <f aca="false">IF(I14="","",IF(I14&gt;H14,"Delayed","On Time"))</f>
        <v/>
      </c>
      <c r="K14" s="37" t="str">
        <f aca="false">IF(J14="Delayed",I14-H14,"")</f>
        <v/>
      </c>
    </row>
    <row r="15" customFormat="false" ht="15" hidden="false" customHeight="false" outlineLevel="0" collapsed="false">
      <c r="A15" s="35" t="s">
        <v>79</v>
      </c>
      <c r="B15" s="36" t="n">
        <v>46205</v>
      </c>
      <c r="C15" s="36" t="n">
        <v>46206</v>
      </c>
      <c r="D15" s="35" t="s">
        <v>48</v>
      </c>
      <c r="E15" s="35" t="s">
        <v>33</v>
      </c>
      <c r="F15" s="35" t="s">
        <v>15</v>
      </c>
      <c r="G15" s="35"/>
      <c r="H15" s="37" t="n">
        <f aca="false">IFERROR(VLOOKUP(D15,Settings!$A$5:$C$14,3,FALSE()),"")</f>
        <v>3</v>
      </c>
      <c r="I15" s="37" t="n">
        <f aca="false">IF(C15="","",C15-B15)</f>
        <v>1</v>
      </c>
      <c r="J15" s="38" t="str">
        <f aca="false">IF(I15="","",IF(I15&gt;H15,"Delayed","On Time"))</f>
        <v>On Time</v>
      </c>
      <c r="K15" s="37" t="str">
        <f aca="false">IF(J15="Delayed",I15-H15,"")</f>
        <v/>
      </c>
    </row>
    <row r="16" customFormat="false" ht="15" hidden="false" customHeight="false" outlineLevel="0" collapsed="false">
      <c r="A16" s="35" t="s">
        <v>80</v>
      </c>
      <c r="B16" s="36" t="n">
        <v>46205</v>
      </c>
      <c r="C16" s="36"/>
      <c r="D16" s="35" t="s">
        <v>44</v>
      </c>
      <c r="E16" s="35" t="s">
        <v>35</v>
      </c>
      <c r="F16" s="35" t="s">
        <v>18</v>
      </c>
      <c r="G16" s="35" t="s">
        <v>45</v>
      </c>
      <c r="H16" s="37" t="n">
        <f aca="false">IFERROR(VLOOKUP(D16,Settings!$A$5:$C$14,3,FALSE()),"")</f>
        <v>3</v>
      </c>
      <c r="I16" s="37" t="str">
        <f aca="false">IF(C16="","",C16-B16)</f>
        <v/>
      </c>
      <c r="J16" s="38" t="str">
        <f aca="false">IF(I16="","",IF(I16&gt;H16,"Delayed","On Time"))</f>
        <v/>
      </c>
      <c r="K16" s="37" t="str">
        <f aca="false">IF(J16="Delayed",I16-H16,"")</f>
        <v/>
      </c>
    </row>
    <row r="17" customFormat="false" ht="15" hidden="false" customHeight="false" outlineLevel="0" collapsed="false">
      <c r="A17" s="35" t="s">
        <v>81</v>
      </c>
      <c r="B17" s="36" t="n">
        <v>46206</v>
      </c>
      <c r="C17" s="36" t="n">
        <v>46214</v>
      </c>
      <c r="D17" s="35" t="s">
        <v>57</v>
      </c>
      <c r="E17" s="35" t="s">
        <v>33</v>
      </c>
      <c r="F17" s="35" t="s">
        <v>15</v>
      </c>
      <c r="G17" s="35"/>
      <c r="H17" s="37" t="n">
        <f aca="false">IFERROR(VLOOKUP(D17,Settings!$A$5:$C$14,3,FALSE()),"")</f>
        <v>7</v>
      </c>
      <c r="I17" s="37" t="n">
        <f aca="false">IF(C17="","",C17-B17)</f>
        <v>8</v>
      </c>
      <c r="J17" s="38" t="str">
        <f aca="false">IF(I17="","",IF(I17&gt;H17,"Delayed","On Time"))</f>
        <v>Delayed</v>
      </c>
      <c r="K17" s="37" t="n">
        <f aca="false">IF(J17="Delayed",I17-H17,"")</f>
        <v>1</v>
      </c>
    </row>
    <row r="18" customFormat="false" ht="15" hidden="false" customHeight="false" outlineLevel="0" collapsed="false">
      <c r="A18" s="35" t="s">
        <v>82</v>
      </c>
      <c r="B18" s="36" t="n">
        <v>46206</v>
      </c>
      <c r="C18" s="36" t="n">
        <v>46211</v>
      </c>
      <c r="D18" s="35" t="s">
        <v>50</v>
      </c>
      <c r="E18" s="35" t="s">
        <v>35</v>
      </c>
      <c r="F18" s="35" t="s">
        <v>15</v>
      </c>
      <c r="G18" s="35"/>
      <c r="H18" s="37" t="n">
        <f aca="false">IFERROR(VLOOKUP(D18,Settings!$A$5:$C$14,3,FALSE()),"")</f>
        <v>3</v>
      </c>
      <c r="I18" s="37" t="n">
        <f aca="false">IF(C18="","",C18-B18)</f>
        <v>5</v>
      </c>
      <c r="J18" s="38" t="str">
        <f aca="false">IF(I18="","",IF(I18&gt;H18,"Delayed","On Time"))</f>
        <v>Delayed</v>
      </c>
      <c r="K18" s="37" t="n">
        <f aca="false">IF(J18="Delayed",I18-H18,"")</f>
        <v>2</v>
      </c>
    </row>
    <row r="19" customFormat="false" ht="15" hidden="false" customHeight="false" outlineLevel="0" collapsed="false">
      <c r="A19" s="35" t="s">
        <v>83</v>
      </c>
      <c r="B19" s="36" t="n">
        <v>46206</v>
      </c>
      <c r="C19" s="36" t="n">
        <v>46209</v>
      </c>
      <c r="D19" s="35" t="s">
        <v>44</v>
      </c>
      <c r="E19" s="35" t="s">
        <v>33</v>
      </c>
      <c r="F19" s="35" t="s">
        <v>15</v>
      </c>
      <c r="G19" s="35"/>
      <c r="H19" s="37" t="n">
        <f aca="false">IFERROR(VLOOKUP(D19,Settings!$A$5:$C$14,3,FALSE()),"")</f>
        <v>3</v>
      </c>
      <c r="I19" s="37" t="n">
        <f aca="false">IF(C19="","",C19-B19)</f>
        <v>3</v>
      </c>
      <c r="J19" s="38" t="str">
        <f aca="false">IF(I19="","",IF(I19&gt;H19,"Delayed","On Time"))</f>
        <v>On Time</v>
      </c>
      <c r="K19" s="37" t="str">
        <f aca="false">IF(J19="Delayed",I19-H19,"")</f>
        <v/>
      </c>
    </row>
    <row r="20" customFormat="false" ht="15" hidden="false" customHeight="false" outlineLevel="0" collapsed="false">
      <c r="A20" s="35" t="s">
        <v>84</v>
      </c>
      <c r="B20" s="36" t="n">
        <v>46206</v>
      </c>
      <c r="C20" s="36" t="n">
        <v>46209</v>
      </c>
      <c r="D20" s="35" t="s">
        <v>44</v>
      </c>
      <c r="E20" s="35" t="s">
        <v>36</v>
      </c>
      <c r="F20" s="35" t="s">
        <v>17</v>
      </c>
      <c r="G20" s="35" t="s">
        <v>43</v>
      </c>
      <c r="H20" s="37" t="n">
        <f aca="false">IFERROR(VLOOKUP(D20,Settings!$A$5:$C$14,3,FALSE()),"")</f>
        <v>3</v>
      </c>
      <c r="I20" s="37" t="n">
        <f aca="false">IF(C20="","",C20-B20)</f>
        <v>3</v>
      </c>
      <c r="J20" s="38" t="str">
        <f aca="false">IF(I20="","",IF(I20&gt;H20,"Delayed","On Time"))</f>
        <v>On Time</v>
      </c>
      <c r="K20" s="37" t="str">
        <f aca="false">IF(J20="Delayed",I20-H20,"")</f>
        <v/>
      </c>
    </row>
    <row r="21" customFormat="false" ht="15" hidden="false" customHeight="false" outlineLevel="0" collapsed="false">
      <c r="A21" s="35" t="s">
        <v>85</v>
      </c>
      <c r="B21" s="36" t="n">
        <v>46207</v>
      </c>
      <c r="C21" s="36" t="n">
        <v>46215</v>
      </c>
      <c r="D21" s="35" t="s">
        <v>57</v>
      </c>
      <c r="E21" s="35" t="s">
        <v>35</v>
      </c>
      <c r="F21" s="35" t="s">
        <v>15</v>
      </c>
      <c r="G21" s="35"/>
      <c r="H21" s="37" t="n">
        <f aca="false">IFERROR(VLOOKUP(D21,Settings!$A$5:$C$14,3,FALSE()),"")</f>
        <v>7</v>
      </c>
      <c r="I21" s="37" t="n">
        <f aca="false">IF(C21="","",C21-B21)</f>
        <v>8</v>
      </c>
      <c r="J21" s="38" t="str">
        <f aca="false">IF(I21="","",IF(I21&gt;H21,"Delayed","On Time"))</f>
        <v>Delayed</v>
      </c>
      <c r="K21" s="37" t="n">
        <f aca="false">IF(J21="Delayed",I21-H21,"")</f>
        <v>1</v>
      </c>
    </row>
    <row r="22" customFormat="false" ht="15" hidden="false" customHeight="false" outlineLevel="0" collapsed="false">
      <c r="A22" s="35" t="s">
        <v>86</v>
      </c>
      <c r="B22" s="36" t="n">
        <v>46207</v>
      </c>
      <c r="C22" s="36" t="n">
        <v>46210</v>
      </c>
      <c r="D22" s="35" t="s">
        <v>44</v>
      </c>
      <c r="E22" s="35" t="s">
        <v>36</v>
      </c>
      <c r="F22" s="35" t="s">
        <v>15</v>
      </c>
      <c r="G22" s="35"/>
      <c r="H22" s="37" t="n">
        <f aca="false">IFERROR(VLOOKUP(D22,Settings!$A$5:$C$14,3,FALSE()),"")</f>
        <v>3</v>
      </c>
      <c r="I22" s="37" t="n">
        <f aca="false">IF(C22="","",C22-B22)</f>
        <v>3</v>
      </c>
      <c r="J22" s="38" t="str">
        <f aca="false">IF(I22="","",IF(I22&gt;H22,"Delayed","On Time"))</f>
        <v>On Time</v>
      </c>
      <c r="K22" s="37" t="str">
        <f aca="false">IF(J22="Delayed",I22-H22,"")</f>
        <v/>
      </c>
    </row>
    <row r="23" customFormat="false" ht="15" hidden="false" customHeight="false" outlineLevel="0" collapsed="false">
      <c r="A23" s="35" t="s">
        <v>87</v>
      </c>
      <c r="B23" s="36" t="n">
        <v>46207</v>
      </c>
      <c r="C23" s="36" t="n">
        <v>46213</v>
      </c>
      <c r="D23" s="35" t="s">
        <v>53</v>
      </c>
      <c r="E23" s="35" t="s">
        <v>36</v>
      </c>
      <c r="F23" s="35" t="s">
        <v>15</v>
      </c>
      <c r="G23" s="35"/>
      <c r="H23" s="37" t="n">
        <f aca="false">IFERROR(VLOOKUP(D23,Settings!$A$5:$C$14,3,FALSE()),"")</f>
        <v>5</v>
      </c>
      <c r="I23" s="37" t="n">
        <f aca="false">IF(C23="","",C23-B23)</f>
        <v>6</v>
      </c>
      <c r="J23" s="38" t="str">
        <f aca="false">IF(I23="","",IF(I23&gt;H23,"Delayed","On Time"))</f>
        <v>Delayed</v>
      </c>
      <c r="K23" s="37" t="n">
        <f aca="false">IF(J23="Delayed",I23-H23,"")</f>
        <v>1</v>
      </c>
    </row>
    <row r="24" customFormat="false" ht="15" hidden="false" customHeight="false" outlineLevel="0" collapsed="false">
      <c r="A24" s="35" t="s">
        <v>88</v>
      </c>
      <c r="B24" s="36" t="n">
        <v>46207</v>
      </c>
      <c r="C24" s="36" t="n">
        <v>46211</v>
      </c>
      <c r="D24" s="35" t="s">
        <v>46</v>
      </c>
      <c r="E24" s="35" t="s">
        <v>33</v>
      </c>
      <c r="F24" s="35" t="s">
        <v>15</v>
      </c>
      <c r="G24" s="35"/>
      <c r="H24" s="37" t="n">
        <f aca="false">IFERROR(VLOOKUP(D24,Settings!$A$5:$C$14,3,FALSE()),"")</f>
        <v>3</v>
      </c>
      <c r="I24" s="37" t="n">
        <f aca="false">IF(C24="","",C24-B24)</f>
        <v>4</v>
      </c>
      <c r="J24" s="38" t="str">
        <f aca="false">IF(I24="","",IF(I24&gt;H24,"Delayed","On Time"))</f>
        <v>Delayed</v>
      </c>
      <c r="K24" s="37" t="n">
        <f aca="false">IF(J24="Delayed",I24-H24,"")</f>
        <v>1</v>
      </c>
    </row>
    <row r="25" customFormat="false" ht="15" hidden="false" customHeight="false" outlineLevel="0" collapsed="false">
      <c r="A25" s="35" t="s">
        <v>89</v>
      </c>
      <c r="B25" s="36" t="n">
        <v>46208</v>
      </c>
      <c r="C25" s="36" t="n">
        <v>46215</v>
      </c>
      <c r="D25" s="35" t="s">
        <v>56</v>
      </c>
      <c r="E25" s="35" t="s">
        <v>35</v>
      </c>
      <c r="F25" s="35" t="s">
        <v>15</v>
      </c>
      <c r="G25" s="35"/>
      <c r="H25" s="37" t="n">
        <f aca="false">IFERROR(VLOOKUP(D25,Settings!$A$5:$C$14,3,FALSE()),"")</f>
        <v>6</v>
      </c>
      <c r="I25" s="37" t="n">
        <f aca="false">IF(C25="","",C25-B25)</f>
        <v>7</v>
      </c>
      <c r="J25" s="38" t="str">
        <f aca="false">IF(I25="","",IF(I25&gt;H25,"Delayed","On Time"))</f>
        <v>Delayed</v>
      </c>
      <c r="K25" s="37" t="n">
        <f aca="false">IF(J25="Delayed",I25-H25,"")</f>
        <v>1</v>
      </c>
    </row>
    <row r="26" customFormat="false" ht="15" hidden="false" customHeight="false" outlineLevel="0" collapsed="false">
      <c r="A26" s="35" t="s">
        <v>90</v>
      </c>
      <c r="B26" s="36" t="n">
        <v>46208</v>
      </c>
      <c r="C26" s="36" t="n">
        <v>46211</v>
      </c>
      <c r="D26" s="35" t="s">
        <v>46</v>
      </c>
      <c r="E26" s="35" t="s">
        <v>34</v>
      </c>
      <c r="F26" s="35" t="s">
        <v>15</v>
      </c>
      <c r="G26" s="35"/>
      <c r="H26" s="37" t="n">
        <f aca="false">IFERROR(VLOOKUP(D26,Settings!$A$5:$C$14,3,FALSE()),"")</f>
        <v>3</v>
      </c>
      <c r="I26" s="37" t="n">
        <f aca="false">IF(C26="","",C26-B26)</f>
        <v>3</v>
      </c>
      <c r="J26" s="38" t="str">
        <f aca="false">IF(I26="","",IF(I26&gt;H26,"Delayed","On Time"))</f>
        <v>On Time</v>
      </c>
      <c r="K26" s="37" t="str">
        <f aca="false">IF(J26="Delayed",I26-H26,"")</f>
        <v/>
      </c>
    </row>
    <row r="27" customFormat="false" ht="15" hidden="false" customHeight="false" outlineLevel="0" collapsed="false">
      <c r="A27" s="35" t="s">
        <v>91</v>
      </c>
      <c r="B27" s="36" t="n">
        <v>46208</v>
      </c>
      <c r="C27" s="36" t="n">
        <v>46213</v>
      </c>
      <c r="D27" s="35" t="s">
        <v>48</v>
      </c>
      <c r="E27" s="35" t="s">
        <v>36</v>
      </c>
      <c r="F27" s="35" t="s">
        <v>15</v>
      </c>
      <c r="G27" s="35"/>
      <c r="H27" s="37" t="n">
        <f aca="false">IFERROR(VLOOKUP(D27,Settings!$A$5:$C$14,3,FALSE()),"")</f>
        <v>3</v>
      </c>
      <c r="I27" s="37" t="n">
        <f aca="false">IF(C27="","",C27-B27)</f>
        <v>5</v>
      </c>
      <c r="J27" s="38" t="str">
        <f aca="false">IF(I27="","",IF(I27&gt;H27,"Delayed","On Time"))</f>
        <v>Delayed</v>
      </c>
      <c r="K27" s="37" t="n">
        <f aca="false">IF(J27="Delayed",I27-H27,"")</f>
        <v>2</v>
      </c>
    </row>
    <row r="28" customFormat="false" ht="15" hidden="false" customHeight="false" outlineLevel="0" collapsed="false">
      <c r="A28" s="35" t="s">
        <v>92</v>
      </c>
      <c r="B28" s="36" t="n">
        <v>46208</v>
      </c>
      <c r="C28" s="36" t="n">
        <v>46217</v>
      </c>
      <c r="D28" s="35" t="s">
        <v>55</v>
      </c>
      <c r="E28" s="35" t="s">
        <v>35</v>
      </c>
      <c r="F28" s="35" t="s">
        <v>15</v>
      </c>
      <c r="G28" s="35"/>
      <c r="H28" s="37" t="n">
        <f aca="false">IFERROR(VLOOKUP(D28,Settings!$A$5:$C$14,3,FALSE()),"")</f>
        <v>5</v>
      </c>
      <c r="I28" s="37" t="n">
        <f aca="false">IF(C28="","",C28-B28)</f>
        <v>9</v>
      </c>
      <c r="J28" s="38" t="str">
        <f aca="false">IF(I28="","",IF(I28&gt;H28,"Delayed","On Time"))</f>
        <v>Delayed</v>
      </c>
      <c r="K28" s="37" t="n">
        <f aca="false">IF(J28="Delayed",I28-H28,"")</f>
        <v>4</v>
      </c>
    </row>
    <row r="29" customFormat="false" ht="15" hidden="false" customHeight="false" outlineLevel="0" collapsed="false">
      <c r="A29" s="35" t="s">
        <v>93</v>
      </c>
      <c r="B29" s="36" t="n">
        <v>46208</v>
      </c>
      <c r="C29" s="36" t="n">
        <v>46212</v>
      </c>
      <c r="D29" s="35" t="s">
        <v>46</v>
      </c>
      <c r="E29" s="35" t="s">
        <v>34</v>
      </c>
      <c r="F29" s="35" t="s">
        <v>15</v>
      </c>
      <c r="G29" s="35"/>
      <c r="H29" s="37" t="n">
        <f aca="false">IFERROR(VLOOKUP(D29,Settings!$A$5:$C$14,3,FALSE()),"")</f>
        <v>3</v>
      </c>
      <c r="I29" s="37" t="n">
        <f aca="false">IF(C29="","",C29-B29)</f>
        <v>4</v>
      </c>
      <c r="J29" s="38" t="str">
        <f aca="false">IF(I29="","",IF(I29&gt;H29,"Delayed","On Time"))</f>
        <v>Delayed</v>
      </c>
      <c r="K29" s="37" t="n">
        <f aca="false">IF(J29="Delayed",I29-H29,"")</f>
        <v>1</v>
      </c>
    </row>
    <row r="30" customFormat="false" ht="15" hidden="false" customHeight="false" outlineLevel="0" collapsed="false">
      <c r="A30" s="35" t="s">
        <v>94</v>
      </c>
      <c r="B30" s="36" t="n">
        <v>46208</v>
      </c>
      <c r="C30" s="36" t="n">
        <v>46212</v>
      </c>
      <c r="D30" s="35" t="s">
        <v>48</v>
      </c>
      <c r="E30" s="35" t="s">
        <v>34</v>
      </c>
      <c r="F30" s="35" t="s">
        <v>15</v>
      </c>
      <c r="G30" s="35"/>
      <c r="H30" s="37" t="n">
        <f aca="false">IFERROR(VLOOKUP(D30,Settings!$A$5:$C$14,3,FALSE()),"")</f>
        <v>3</v>
      </c>
      <c r="I30" s="37" t="n">
        <f aca="false">IF(C30="","",C30-B30)</f>
        <v>4</v>
      </c>
      <c r="J30" s="38" t="str">
        <f aca="false">IF(I30="","",IF(I30&gt;H30,"Delayed","On Time"))</f>
        <v>Delayed</v>
      </c>
      <c r="K30" s="37" t="n">
        <f aca="false">IF(J30="Delayed",I30-H30,"")</f>
        <v>1</v>
      </c>
    </row>
    <row r="31" customFormat="false" ht="15" hidden="false" customHeight="false" outlineLevel="0" collapsed="false">
      <c r="A31" s="35" t="s">
        <v>95</v>
      </c>
      <c r="B31" s="36" t="n">
        <v>46209</v>
      </c>
      <c r="C31" s="36" t="n">
        <v>46212</v>
      </c>
      <c r="D31" s="35" t="s">
        <v>50</v>
      </c>
      <c r="E31" s="35" t="s">
        <v>34</v>
      </c>
      <c r="F31" s="35" t="s">
        <v>15</v>
      </c>
      <c r="G31" s="35"/>
      <c r="H31" s="37" t="n">
        <f aca="false">IFERROR(VLOOKUP(D31,Settings!$A$5:$C$14,3,FALSE()),"")</f>
        <v>3</v>
      </c>
      <c r="I31" s="37" t="n">
        <f aca="false">IF(C31="","",C31-B31)</f>
        <v>3</v>
      </c>
      <c r="J31" s="38" t="str">
        <f aca="false">IF(I31="","",IF(I31&gt;H31,"Delayed","On Time"))</f>
        <v>On Time</v>
      </c>
      <c r="K31" s="37" t="str">
        <f aca="false">IF(J31="Delayed",I31-H31,"")</f>
        <v/>
      </c>
    </row>
    <row r="32" customFormat="false" ht="15" hidden="false" customHeight="false" outlineLevel="0" collapsed="false">
      <c r="A32" s="35" t="s">
        <v>96</v>
      </c>
      <c r="B32" s="36" t="n">
        <v>46209</v>
      </c>
      <c r="C32" s="36" t="n">
        <v>46215</v>
      </c>
      <c r="D32" s="35" t="s">
        <v>56</v>
      </c>
      <c r="E32" s="35" t="s">
        <v>36</v>
      </c>
      <c r="F32" s="35" t="s">
        <v>15</v>
      </c>
      <c r="G32" s="35"/>
      <c r="H32" s="37" t="n">
        <f aca="false">IFERROR(VLOOKUP(D32,Settings!$A$5:$C$14,3,FALSE()),"")</f>
        <v>6</v>
      </c>
      <c r="I32" s="37" t="n">
        <f aca="false">IF(C32="","",C32-B32)</f>
        <v>6</v>
      </c>
      <c r="J32" s="38" t="str">
        <f aca="false">IF(I32="","",IF(I32&gt;H32,"Delayed","On Time"))</f>
        <v>On Time</v>
      </c>
      <c r="K32" s="37" t="str">
        <f aca="false">IF(J32="Delayed",I32-H32,"")</f>
        <v/>
      </c>
    </row>
    <row r="33" customFormat="false" ht="15" hidden="false" customHeight="false" outlineLevel="0" collapsed="false">
      <c r="A33" s="35" t="s">
        <v>97</v>
      </c>
      <c r="B33" s="36" t="n">
        <v>46209</v>
      </c>
      <c r="C33" s="36" t="n">
        <v>46211</v>
      </c>
      <c r="D33" s="35" t="s">
        <v>46</v>
      </c>
      <c r="E33" s="35" t="s">
        <v>34</v>
      </c>
      <c r="F33" s="35" t="s">
        <v>17</v>
      </c>
      <c r="G33" s="35" t="s">
        <v>49</v>
      </c>
      <c r="H33" s="37" t="n">
        <f aca="false">IFERROR(VLOOKUP(D33,Settings!$A$5:$C$14,3,FALSE()),"")</f>
        <v>3</v>
      </c>
      <c r="I33" s="37" t="n">
        <f aca="false">IF(C33="","",C33-B33)</f>
        <v>2</v>
      </c>
      <c r="J33" s="38" t="str">
        <f aca="false">IF(I33="","",IF(I33&gt;H33,"Delayed","On Time"))</f>
        <v>On Time</v>
      </c>
      <c r="K33" s="37" t="str">
        <f aca="false">IF(J33="Delayed",I33-H33,"")</f>
        <v/>
      </c>
    </row>
    <row r="34" customFormat="false" ht="15" hidden="false" customHeight="false" outlineLevel="0" collapsed="false">
      <c r="A34" s="35" t="s">
        <v>98</v>
      </c>
      <c r="B34" s="36" t="n">
        <v>46209</v>
      </c>
      <c r="C34" s="36" t="n">
        <v>46211</v>
      </c>
      <c r="D34" s="35" t="s">
        <v>44</v>
      </c>
      <c r="E34" s="35" t="s">
        <v>35</v>
      </c>
      <c r="F34" s="35" t="s">
        <v>15</v>
      </c>
      <c r="G34" s="35"/>
      <c r="H34" s="37" t="n">
        <f aca="false">IFERROR(VLOOKUP(D34,Settings!$A$5:$C$14,3,FALSE()),"")</f>
        <v>3</v>
      </c>
      <c r="I34" s="37" t="n">
        <f aca="false">IF(C34="","",C34-B34)</f>
        <v>2</v>
      </c>
      <c r="J34" s="38" t="str">
        <f aca="false">IF(I34="","",IF(I34&gt;H34,"Delayed","On Time"))</f>
        <v>On Time</v>
      </c>
      <c r="K34" s="37" t="str">
        <f aca="false">IF(J34="Delayed",I34-H34,"")</f>
        <v/>
      </c>
    </row>
    <row r="35" customFormat="false" ht="15" hidden="false" customHeight="false" outlineLevel="0" collapsed="false">
      <c r="A35" s="35" t="s">
        <v>99</v>
      </c>
      <c r="B35" s="36" t="n">
        <v>46209</v>
      </c>
      <c r="C35" s="36" t="n">
        <v>46213</v>
      </c>
      <c r="D35" s="35" t="s">
        <v>46</v>
      </c>
      <c r="E35" s="35" t="s">
        <v>35</v>
      </c>
      <c r="F35" s="35" t="s">
        <v>15</v>
      </c>
      <c r="G35" s="35"/>
      <c r="H35" s="37" t="n">
        <f aca="false">IFERROR(VLOOKUP(D35,Settings!$A$5:$C$14,3,FALSE()),"")</f>
        <v>3</v>
      </c>
      <c r="I35" s="37" t="n">
        <f aca="false">IF(C35="","",C35-B35)</f>
        <v>4</v>
      </c>
      <c r="J35" s="38" t="str">
        <f aca="false">IF(I35="","",IF(I35&gt;H35,"Delayed","On Time"))</f>
        <v>Delayed</v>
      </c>
      <c r="K35" s="37" t="n">
        <f aca="false">IF(J35="Delayed",I35-H35,"")</f>
        <v>1</v>
      </c>
    </row>
    <row r="36" customFormat="false" ht="15" hidden="false" customHeight="false" outlineLevel="0" collapsed="false">
      <c r="A36" s="35" t="s">
        <v>100</v>
      </c>
      <c r="B36" s="36" t="n">
        <v>46209</v>
      </c>
      <c r="C36" s="36" t="n">
        <v>46212</v>
      </c>
      <c r="D36" s="35" t="s">
        <v>50</v>
      </c>
      <c r="E36" s="35" t="s">
        <v>36</v>
      </c>
      <c r="F36" s="35" t="s">
        <v>15</v>
      </c>
      <c r="G36" s="35"/>
      <c r="H36" s="37" t="n">
        <f aca="false">IFERROR(VLOOKUP(D36,Settings!$A$5:$C$14,3,FALSE()),"")</f>
        <v>3</v>
      </c>
      <c r="I36" s="37" t="n">
        <f aca="false">IF(C36="","",C36-B36)</f>
        <v>3</v>
      </c>
      <c r="J36" s="38" t="str">
        <f aca="false">IF(I36="","",IF(I36&gt;H36,"Delayed","On Time"))</f>
        <v>On Time</v>
      </c>
      <c r="K36" s="37" t="str">
        <f aca="false">IF(J36="Delayed",I36-H36,"")</f>
        <v/>
      </c>
    </row>
    <row r="37" customFormat="false" ht="15" hidden="false" customHeight="false" outlineLevel="0" collapsed="false">
      <c r="A37" s="35" t="s">
        <v>101</v>
      </c>
      <c r="B37" s="36" t="n">
        <v>46210</v>
      </c>
      <c r="C37" s="36" t="n">
        <v>46214</v>
      </c>
      <c r="D37" s="35" t="s">
        <v>53</v>
      </c>
      <c r="E37" s="35" t="s">
        <v>33</v>
      </c>
      <c r="F37" s="35" t="s">
        <v>15</v>
      </c>
      <c r="G37" s="35"/>
      <c r="H37" s="37" t="n">
        <f aca="false">IFERROR(VLOOKUP(D37,Settings!$A$5:$C$14,3,FALSE()),"")</f>
        <v>5</v>
      </c>
      <c r="I37" s="37" t="n">
        <f aca="false">IF(C37="","",C37-B37)</f>
        <v>4</v>
      </c>
      <c r="J37" s="38" t="str">
        <f aca="false">IF(I37="","",IF(I37&gt;H37,"Delayed","On Time"))</f>
        <v>On Time</v>
      </c>
      <c r="K37" s="37" t="str">
        <f aca="false">IF(J37="Delayed",I37-H37,"")</f>
        <v/>
      </c>
    </row>
    <row r="38" customFormat="false" ht="15" hidden="false" customHeight="false" outlineLevel="0" collapsed="false">
      <c r="A38" s="35" t="s">
        <v>102</v>
      </c>
      <c r="B38" s="36" t="n">
        <v>46210</v>
      </c>
      <c r="C38" s="36" t="n">
        <v>46214</v>
      </c>
      <c r="D38" s="35" t="s">
        <v>44</v>
      </c>
      <c r="E38" s="35" t="s">
        <v>34</v>
      </c>
      <c r="F38" s="35" t="s">
        <v>15</v>
      </c>
      <c r="G38" s="35"/>
      <c r="H38" s="37" t="n">
        <f aca="false">IFERROR(VLOOKUP(D38,Settings!$A$5:$C$14,3,FALSE()),"")</f>
        <v>3</v>
      </c>
      <c r="I38" s="37" t="n">
        <f aca="false">IF(C38="","",C38-B38)</f>
        <v>4</v>
      </c>
      <c r="J38" s="38" t="str">
        <f aca="false">IF(I38="","",IF(I38&gt;H38,"Delayed","On Time"))</f>
        <v>Delayed</v>
      </c>
      <c r="K38" s="37" t="n">
        <f aca="false">IF(J38="Delayed",I38-H38,"")</f>
        <v>1</v>
      </c>
    </row>
    <row r="39" customFormat="false" ht="15" hidden="false" customHeight="false" outlineLevel="0" collapsed="false">
      <c r="A39" s="35" t="s">
        <v>103</v>
      </c>
      <c r="B39" s="36" t="n">
        <v>46210</v>
      </c>
      <c r="C39" s="36" t="n">
        <v>46218</v>
      </c>
      <c r="D39" s="35" t="s">
        <v>57</v>
      </c>
      <c r="E39" s="35" t="s">
        <v>36</v>
      </c>
      <c r="F39" s="35" t="s">
        <v>15</v>
      </c>
      <c r="G39" s="35"/>
      <c r="H39" s="37" t="n">
        <f aca="false">IFERROR(VLOOKUP(D39,Settings!$A$5:$C$14,3,FALSE()),"")</f>
        <v>7</v>
      </c>
      <c r="I39" s="37" t="n">
        <f aca="false">IF(C39="","",C39-B39)</f>
        <v>8</v>
      </c>
      <c r="J39" s="38" t="str">
        <f aca="false">IF(I39="","",IF(I39&gt;H39,"Delayed","On Time"))</f>
        <v>Delayed</v>
      </c>
      <c r="K39" s="37" t="n">
        <f aca="false">IF(J39="Delayed",I39-H39,"")</f>
        <v>1</v>
      </c>
    </row>
    <row r="40" customFormat="false" ht="15" hidden="false" customHeight="false" outlineLevel="0" collapsed="false">
      <c r="A40" s="35" t="s">
        <v>104</v>
      </c>
      <c r="B40" s="36" t="n">
        <v>46210</v>
      </c>
      <c r="C40" s="36" t="n">
        <v>46216</v>
      </c>
      <c r="D40" s="35" t="s">
        <v>50</v>
      </c>
      <c r="E40" s="35" t="s">
        <v>35</v>
      </c>
      <c r="F40" s="35" t="s">
        <v>15</v>
      </c>
      <c r="G40" s="35"/>
      <c r="H40" s="37" t="n">
        <f aca="false">IFERROR(VLOOKUP(D40,Settings!$A$5:$C$14,3,FALSE()),"")</f>
        <v>3</v>
      </c>
      <c r="I40" s="37" t="n">
        <f aca="false">IF(C40="","",C40-B40)</f>
        <v>6</v>
      </c>
      <c r="J40" s="38" t="str">
        <f aca="false">IF(I40="","",IF(I40&gt;H40,"Delayed","On Time"))</f>
        <v>Delayed</v>
      </c>
      <c r="K40" s="37" t="n">
        <f aca="false">IF(J40="Delayed",I40-H40,"")</f>
        <v>3</v>
      </c>
    </row>
    <row r="41" customFormat="false" ht="15" hidden="false" customHeight="false" outlineLevel="0" collapsed="false">
      <c r="A41" s="35" t="s">
        <v>105</v>
      </c>
      <c r="B41" s="36" t="n">
        <v>46210</v>
      </c>
      <c r="C41" s="36" t="n">
        <v>46215</v>
      </c>
      <c r="D41" s="35" t="s">
        <v>44</v>
      </c>
      <c r="E41" s="35" t="s">
        <v>36</v>
      </c>
      <c r="F41" s="35" t="s">
        <v>15</v>
      </c>
      <c r="G41" s="35"/>
      <c r="H41" s="37" t="n">
        <f aca="false">IFERROR(VLOOKUP(D41,Settings!$A$5:$C$14,3,FALSE()),"")</f>
        <v>3</v>
      </c>
      <c r="I41" s="37" t="n">
        <f aca="false">IF(C41="","",C41-B41)</f>
        <v>5</v>
      </c>
      <c r="J41" s="38" t="str">
        <f aca="false">IF(I41="","",IF(I41&gt;H41,"Delayed","On Time"))</f>
        <v>Delayed</v>
      </c>
      <c r="K41" s="37" t="n">
        <f aca="false">IF(J41="Delayed",I41-H41,"")</f>
        <v>2</v>
      </c>
    </row>
    <row r="42" customFormat="false" ht="15" hidden="false" customHeight="false" outlineLevel="0" collapsed="false">
      <c r="A42" s="35" t="s">
        <v>106</v>
      </c>
      <c r="B42" s="36" t="n">
        <v>46210</v>
      </c>
      <c r="C42" s="36" t="n">
        <v>46213</v>
      </c>
      <c r="D42" s="35" t="s">
        <v>48</v>
      </c>
      <c r="E42" s="35" t="s">
        <v>33</v>
      </c>
      <c r="F42" s="35" t="s">
        <v>15</v>
      </c>
      <c r="G42" s="35"/>
      <c r="H42" s="37" t="n">
        <f aca="false">IFERROR(VLOOKUP(D42,Settings!$A$5:$C$14,3,FALSE()),"")</f>
        <v>3</v>
      </c>
      <c r="I42" s="37" t="n">
        <f aca="false">IF(C42="","",C42-B42)</f>
        <v>3</v>
      </c>
      <c r="J42" s="38" t="str">
        <f aca="false">IF(I42="","",IF(I42&gt;H42,"Delayed","On Time"))</f>
        <v>On Time</v>
      </c>
      <c r="K42" s="37" t="str">
        <f aca="false">IF(J42="Delayed",I42-H42,"")</f>
        <v/>
      </c>
    </row>
    <row r="43" customFormat="false" ht="15" hidden="false" customHeight="false" outlineLevel="0" collapsed="false">
      <c r="A43" s="35" t="s">
        <v>107</v>
      </c>
      <c r="B43" s="36" t="n">
        <v>46210</v>
      </c>
      <c r="C43" s="36" t="n">
        <v>46217</v>
      </c>
      <c r="D43" s="35" t="s">
        <v>53</v>
      </c>
      <c r="E43" s="35" t="s">
        <v>35</v>
      </c>
      <c r="F43" s="35" t="s">
        <v>15</v>
      </c>
      <c r="G43" s="35"/>
      <c r="H43" s="37" t="n">
        <f aca="false">IFERROR(VLOOKUP(D43,Settings!$A$5:$C$14,3,FALSE()),"")</f>
        <v>5</v>
      </c>
      <c r="I43" s="37" t="n">
        <f aca="false">IF(C43="","",C43-B43)</f>
        <v>7</v>
      </c>
      <c r="J43" s="38" t="str">
        <f aca="false">IF(I43="","",IF(I43&gt;H43,"Delayed","On Time"))</f>
        <v>Delayed</v>
      </c>
      <c r="K43" s="37" t="n">
        <f aca="false">IF(J43="Delayed",I43-H43,"")</f>
        <v>2</v>
      </c>
    </row>
    <row r="44" customFormat="false" ht="15" hidden="false" customHeight="false" outlineLevel="0" collapsed="false">
      <c r="A44" s="35" t="s">
        <v>108</v>
      </c>
      <c r="B44" s="36" t="n">
        <v>46210</v>
      </c>
      <c r="C44" s="36" t="n">
        <v>46211</v>
      </c>
      <c r="D44" s="35" t="s">
        <v>44</v>
      </c>
      <c r="E44" s="35" t="s">
        <v>34</v>
      </c>
      <c r="F44" s="35" t="s">
        <v>15</v>
      </c>
      <c r="G44" s="35"/>
      <c r="H44" s="37" t="n">
        <f aca="false">IFERROR(VLOOKUP(D44,Settings!$A$5:$C$14,3,FALSE()),"")</f>
        <v>3</v>
      </c>
      <c r="I44" s="37" t="n">
        <f aca="false">IF(C44="","",C44-B44)</f>
        <v>1</v>
      </c>
      <c r="J44" s="38" t="str">
        <f aca="false">IF(I44="","",IF(I44&gt;H44,"Delayed","On Time"))</f>
        <v>On Time</v>
      </c>
      <c r="K44" s="37" t="str">
        <f aca="false">IF(J44="Delayed",I44-H44,"")</f>
        <v/>
      </c>
    </row>
    <row r="45" customFormat="false" ht="15" hidden="false" customHeight="false" outlineLevel="0" collapsed="false">
      <c r="A45" s="35" t="s">
        <v>109</v>
      </c>
      <c r="B45" s="36" t="n">
        <v>46211</v>
      </c>
      <c r="C45" s="36" t="n">
        <v>46216</v>
      </c>
      <c r="D45" s="35" t="s">
        <v>54</v>
      </c>
      <c r="E45" s="35" t="s">
        <v>34</v>
      </c>
      <c r="F45" s="35" t="s">
        <v>15</v>
      </c>
      <c r="G45" s="35"/>
      <c r="H45" s="37" t="n">
        <f aca="false">IFERROR(VLOOKUP(D45,Settings!$A$5:$C$14,3,FALSE()),"")</f>
        <v>5</v>
      </c>
      <c r="I45" s="37" t="n">
        <f aca="false">IF(C45="","",C45-B45)</f>
        <v>5</v>
      </c>
      <c r="J45" s="38" t="str">
        <f aca="false">IF(I45="","",IF(I45&gt;H45,"Delayed","On Time"))</f>
        <v>On Time</v>
      </c>
      <c r="K45" s="37" t="str">
        <f aca="false">IF(J45="Delayed",I45-H45,"")</f>
        <v/>
      </c>
    </row>
    <row r="46" customFormat="false" ht="15" hidden="false" customHeight="false" outlineLevel="0" collapsed="false">
      <c r="A46" s="35" t="s">
        <v>110</v>
      </c>
      <c r="B46" s="36" t="n">
        <v>46211</v>
      </c>
      <c r="C46" s="36" t="n">
        <v>46215</v>
      </c>
      <c r="D46" s="35" t="s">
        <v>44</v>
      </c>
      <c r="E46" s="35" t="s">
        <v>35</v>
      </c>
      <c r="F46" s="35" t="s">
        <v>15</v>
      </c>
      <c r="G46" s="35"/>
      <c r="H46" s="37" t="n">
        <f aca="false">IFERROR(VLOOKUP(D46,Settings!$A$5:$C$14,3,FALSE()),"")</f>
        <v>3</v>
      </c>
      <c r="I46" s="37" t="n">
        <f aca="false">IF(C46="","",C46-B46)</f>
        <v>4</v>
      </c>
      <c r="J46" s="38" t="str">
        <f aca="false">IF(I46="","",IF(I46&gt;H46,"Delayed","On Time"))</f>
        <v>Delayed</v>
      </c>
      <c r="K46" s="37" t="n">
        <f aca="false">IF(J46="Delayed",I46-H46,"")</f>
        <v>1</v>
      </c>
    </row>
    <row r="47" customFormat="false" ht="15" hidden="false" customHeight="false" outlineLevel="0" collapsed="false">
      <c r="A47" s="35" t="s">
        <v>111</v>
      </c>
      <c r="B47" s="36" t="n">
        <v>46211</v>
      </c>
      <c r="C47" s="36" t="n">
        <v>46213</v>
      </c>
      <c r="D47" s="35" t="s">
        <v>46</v>
      </c>
      <c r="E47" s="35" t="s">
        <v>36</v>
      </c>
      <c r="F47" s="35" t="s">
        <v>15</v>
      </c>
      <c r="G47" s="35"/>
      <c r="H47" s="37" t="n">
        <f aca="false">IFERROR(VLOOKUP(D47,Settings!$A$5:$C$14,3,FALSE()),"")</f>
        <v>3</v>
      </c>
      <c r="I47" s="37" t="n">
        <f aca="false">IF(C47="","",C47-B47)</f>
        <v>2</v>
      </c>
      <c r="J47" s="38" t="str">
        <f aca="false">IF(I47="","",IF(I47&gt;H47,"Delayed","On Time"))</f>
        <v>On Time</v>
      </c>
      <c r="K47" s="37" t="str">
        <f aca="false">IF(J47="Delayed",I47-H47,"")</f>
        <v/>
      </c>
    </row>
    <row r="48" customFormat="false" ht="15" hidden="false" customHeight="false" outlineLevel="0" collapsed="false">
      <c r="A48" s="35" t="s">
        <v>112</v>
      </c>
      <c r="B48" s="36" t="n">
        <v>46211</v>
      </c>
      <c r="C48" s="36" t="n">
        <v>46218</v>
      </c>
      <c r="D48" s="35" t="s">
        <v>53</v>
      </c>
      <c r="E48" s="35" t="s">
        <v>34</v>
      </c>
      <c r="F48" s="35" t="s">
        <v>15</v>
      </c>
      <c r="G48" s="35"/>
      <c r="H48" s="37" t="n">
        <f aca="false">IFERROR(VLOOKUP(D48,Settings!$A$5:$C$14,3,FALSE()),"")</f>
        <v>5</v>
      </c>
      <c r="I48" s="37" t="n">
        <f aca="false">IF(C48="","",C48-B48)</f>
        <v>7</v>
      </c>
      <c r="J48" s="38" t="str">
        <f aca="false">IF(I48="","",IF(I48&gt;H48,"Delayed","On Time"))</f>
        <v>Delayed</v>
      </c>
      <c r="K48" s="37" t="n">
        <f aca="false">IF(J48="Delayed",I48-H48,"")</f>
        <v>2</v>
      </c>
    </row>
    <row r="49" customFormat="false" ht="15" hidden="false" customHeight="false" outlineLevel="0" collapsed="false">
      <c r="A49" s="35" t="s">
        <v>113</v>
      </c>
      <c r="B49" s="36" t="n">
        <v>46211</v>
      </c>
      <c r="C49" s="36" t="n">
        <v>46216</v>
      </c>
      <c r="D49" s="35" t="s">
        <v>48</v>
      </c>
      <c r="E49" s="35" t="s">
        <v>35</v>
      </c>
      <c r="F49" s="35" t="s">
        <v>15</v>
      </c>
      <c r="G49" s="35"/>
      <c r="H49" s="37" t="n">
        <f aca="false">IFERROR(VLOOKUP(D49,Settings!$A$5:$C$14,3,FALSE()),"")</f>
        <v>3</v>
      </c>
      <c r="I49" s="37" t="n">
        <f aca="false">IF(C49="","",C49-B49)</f>
        <v>5</v>
      </c>
      <c r="J49" s="38" t="str">
        <f aca="false">IF(I49="","",IF(I49&gt;H49,"Delayed","On Time"))</f>
        <v>Delayed</v>
      </c>
      <c r="K49" s="37" t="n">
        <f aca="false">IF(J49="Delayed",I49-H49,"")</f>
        <v>2</v>
      </c>
    </row>
    <row r="50" customFormat="false" ht="15" hidden="false" customHeight="false" outlineLevel="0" collapsed="false">
      <c r="A50" s="35" t="s">
        <v>114</v>
      </c>
      <c r="B50" s="36" t="n">
        <v>46211</v>
      </c>
      <c r="C50" s="36" t="n">
        <v>46215</v>
      </c>
      <c r="D50" s="35" t="s">
        <v>44</v>
      </c>
      <c r="E50" s="35" t="s">
        <v>35</v>
      </c>
      <c r="F50" s="35" t="s">
        <v>15</v>
      </c>
      <c r="G50" s="35"/>
      <c r="H50" s="37" t="n">
        <f aca="false">IFERROR(VLOOKUP(D50,Settings!$A$5:$C$14,3,FALSE()),"")</f>
        <v>3</v>
      </c>
      <c r="I50" s="37" t="n">
        <f aca="false">IF(C50="","",C50-B50)</f>
        <v>4</v>
      </c>
      <c r="J50" s="38" t="str">
        <f aca="false">IF(I50="","",IF(I50&gt;H50,"Delayed","On Time"))</f>
        <v>Delayed</v>
      </c>
      <c r="K50" s="37" t="n">
        <f aca="false">IF(J50="Delayed",I50-H50,"")</f>
        <v>1</v>
      </c>
    </row>
    <row r="51" customFormat="false" ht="15" hidden="false" customHeight="false" outlineLevel="0" collapsed="false">
      <c r="A51" s="35" t="s">
        <v>115</v>
      </c>
      <c r="B51" s="36" t="n">
        <v>46211</v>
      </c>
      <c r="C51" s="36"/>
      <c r="D51" s="35" t="s">
        <v>44</v>
      </c>
      <c r="E51" s="35" t="s">
        <v>36</v>
      </c>
      <c r="F51" s="35" t="s">
        <v>18</v>
      </c>
      <c r="G51" s="35" t="s">
        <v>45</v>
      </c>
      <c r="H51" s="37" t="n">
        <f aca="false">IFERROR(VLOOKUP(D51,Settings!$A$5:$C$14,3,FALSE()),"")</f>
        <v>3</v>
      </c>
      <c r="I51" s="37" t="str">
        <f aca="false">IF(C51="","",C51-B51)</f>
        <v/>
      </c>
      <c r="J51" s="38" t="str">
        <f aca="false">IF(I51="","",IF(I51&gt;H51,"Delayed","On Time"))</f>
        <v/>
      </c>
      <c r="K51" s="37" t="str">
        <f aca="false">IF(J51="Delayed",I51-H51,"")</f>
        <v/>
      </c>
    </row>
    <row r="52" customFormat="false" ht="15" hidden="false" customHeight="false" outlineLevel="0" collapsed="false">
      <c r="A52" s="35" t="s">
        <v>116</v>
      </c>
      <c r="B52" s="36" t="n">
        <v>46211</v>
      </c>
      <c r="C52" s="36" t="n">
        <v>46217</v>
      </c>
      <c r="D52" s="35" t="s">
        <v>48</v>
      </c>
      <c r="E52" s="35" t="s">
        <v>36</v>
      </c>
      <c r="F52" s="35" t="s">
        <v>15</v>
      </c>
      <c r="G52" s="35"/>
      <c r="H52" s="37" t="n">
        <f aca="false">IFERROR(VLOOKUP(D52,Settings!$A$5:$C$14,3,FALSE()),"")</f>
        <v>3</v>
      </c>
      <c r="I52" s="37" t="n">
        <f aca="false">IF(C52="","",C52-B52)</f>
        <v>6</v>
      </c>
      <c r="J52" s="38" t="str">
        <f aca="false">IF(I52="","",IF(I52&gt;H52,"Delayed","On Time"))</f>
        <v>Delayed</v>
      </c>
      <c r="K52" s="37" t="n">
        <f aca="false">IF(J52="Delayed",I52-H52,"")</f>
        <v>3</v>
      </c>
    </row>
    <row r="53" customFormat="false" ht="15" hidden="false" customHeight="false" outlineLevel="0" collapsed="false">
      <c r="A53" s="35" t="s">
        <v>117</v>
      </c>
      <c r="B53" s="36" t="n">
        <v>46211</v>
      </c>
      <c r="C53" s="36" t="n">
        <v>46213</v>
      </c>
      <c r="D53" s="35" t="s">
        <v>52</v>
      </c>
      <c r="E53" s="35" t="s">
        <v>35</v>
      </c>
      <c r="F53" s="35" t="s">
        <v>15</v>
      </c>
      <c r="G53" s="35"/>
      <c r="H53" s="37" t="n">
        <f aca="false">IFERROR(VLOOKUP(D53,Settings!$A$5:$C$14,3,FALSE()),"")</f>
        <v>4</v>
      </c>
      <c r="I53" s="37" t="n">
        <f aca="false">IF(C53="","",C53-B53)</f>
        <v>2</v>
      </c>
      <c r="J53" s="38" t="str">
        <f aca="false">IF(I53="","",IF(I53&gt;H53,"Delayed","On Time"))</f>
        <v>On Time</v>
      </c>
      <c r="K53" s="37" t="str">
        <f aca="false">IF(J53="Delayed",I53-H53,"")</f>
        <v/>
      </c>
    </row>
    <row r="54" customFormat="false" ht="15" hidden="false" customHeight="false" outlineLevel="0" collapsed="false">
      <c r="A54" s="35" t="s">
        <v>118</v>
      </c>
      <c r="B54" s="36" t="n">
        <v>46211</v>
      </c>
      <c r="C54" s="36" t="n">
        <v>46218</v>
      </c>
      <c r="D54" s="35" t="s">
        <v>54</v>
      </c>
      <c r="E54" s="35" t="s">
        <v>36</v>
      </c>
      <c r="F54" s="35" t="s">
        <v>15</v>
      </c>
      <c r="G54" s="35"/>
      <c r="H54" s="37" t="n">
        <f aca="false">IFERROR(VLOOKUP(D54,Settings!$A$5:$C$14,3,FALSE()),"")</f>
        <v>5</v>
      </c>
      <c r="I54" s="37" t="n">
        <f aca="false">IF(C54="","",C54-B54)</f>
        <v>7</v>
      </c>
      <c r="J54" s="38" t="str">
        <f aca="false">IF(I54="","",IF(I54&gt;H54,"Delayed","On Time"))</f>
        <v>Delayed</v>
      </c>
      <c r="K54" s="37" t="n">
        <f aca="false">IF(J54="Delayed",I54-H54,"")</f>
        <v>2</v>
      </c>
    </row>
    <row r="55" customFormat="false" ht="15" hidden="false" customHeight="false" outlineLevel="0" collapsed="false">
      <c r="A55" s="35" t="s">
        <v>119</v>
      </c>
      <c r="B55" s="36" t="n">
        <v>46211</v>
      </c>
      <c r="C55" s="36" t="n">
        <v>46212</v>
      </c>
      <c r="D55" s="35" t="s">
        <v>44</v>
      </c>
      <c r="E55" s="35" t="s">
        <v>34</v>
      </c>
      <c r="F55" s="35" t="s">
        <v>17</v>
      </c>
      <c r="G55" s="35" t="s">
        <v>51</v>
      </c>
      <c r="H55" s="37" t="n">
        <f aca="false">IFERROR(VLOOKUP(D55,Settings!$A$5:$C$14,3,FALSE()),"")</f>
        <v>3</v>
      </c>
      <c r="I55" s="37" t="n">
        <f aca="false">IF(C55="","",C55-B55)</f>
        <v>1</v>
      </c>
      <c r="J55" s="38" t="str">
        <f aca="false">IF(I55="","",IF(I55&gt;H55,"Delayed","On Time"))</f>
        <v>On Time</v>
      </c>
      <c r="K55" s="37" t="str">
        <f aca="false">IF(J55="Delayed",I55-H55,"")</f>
        <v/>
      </c>
    </row>
    <row r="56" customFormat="false" ht="15" hidden="false" customHeight="false" outlineLevel="0" collapsed="false">
      <c r="A56" s="35" t="s">
        <v>120</v>
      </c>
      <c r="B56" s="36" t="n">
        <v>46211</v>
      </c>
      <c r="C56" s="36" t="n">
        <v>46215</v>
      </c>
      <c r="D56" s="35" t="s">
        <v>50</v>
      </c>
      <c r="E56" s="35" t="s">
        <v>36</v>
      </c>
      <c r="F56" s="35" t="s">
        <v>15</v>
      </c>
      <c r="G56" s="35"/>
      <c r="H56" s="37" t="n">
        <f aca="false">IFERROR(VLOOKUP(D56,Settings!$A$5:$C$14,3,FALSE()),"")</f>
        <v>3</v>
      </c>
      <c r="I56" s="37" t="n">
        <f aca="false">IF(C56="","",C56-B56)</f>
        <v>4</v>
      </c>
      <c r="J56" s="38" t="str">
        <f aca="false">IF(I56="","",IF(I56&gt;H56,"Delayed","On Time"))</f>
        <v>Delayed</v>
      </c>
      <c r="K56" s="37" t="n">
        <f aca="false">IF(J56="Delayed",I56-H56,"")</f>
        <v>1</v>
      </c>
    </row>
    <row r="57" customFormat="false" ht="15" hidden="false" customHeight="false" outlineLevel="0" collapsed="false">
      <c r="A57" s="35" t="s">
        <v>121</v>
      </c>
      <c r="B57" s="36" t="n">
        <v>46212</v>
      </c>
      <c r="C57" s="36" t="n">
        <v>46217</v>
      </c>
      <c r="D57" s="35" t="s">
        <v>46</v>
      </c>
      <c r="E57" s="35" t="s">
        <v>36</v>
      </c>
      <c r="F57" s="35" t="s">
        <v>15</v>
      </c>
      <c r="G57" s="35"/>
      <c r="H57" s="37" t="n">
        <f aca="false">IFERROR(VLOOKUP(D57,Settings!$A$5:$C$14,3,FALSE()),"")</f>
        <v>3</v>
      </c>
      <c r="I57" s="37" t="n">
        <f aca="false">IF(C57="","",C57-B57)</f>
        <v>5</v>
      </c>
      <c r="J57" s="38" t="str">
        <f aca="false">IF(I57="","",IF(I57&gt;H57,"Delayed","On Time"))</f>
        <v>Delayed</v>
      </c>
      <c r="K57" s="37" t="n">
        <f aca="false">IF(J57="Delayed",I57-H57,"")</f>
        <v>2</v>
      </c>
    </row>
    <row r="58" customFormat="false" ht="15" hidden="false" customHeight="false" outlineLevel="0" collapsed="false">
      <c r="A58" s="35" t="s">
        <v>122</v>
      </c>
      <c r="B58" s="36" t="n">
        <v>46212</v>
      </c>
      <c r="C58" s="36" t="n">
        <v>46214</v>
      </c>
      <c r="D58" s="35" t="s">
        <v>48</v>
      </c>
      <c r="E58" s="35" t="s">
        <v>34</v>
      </c>
      <c r="F58" s="35" t="s">
        <v>15</v>
      </c>
      <c r="G58" s="35"/>
      <c r="H58" s="37" t="n">
        <f aca="false">IFERROR(VLOOKUP(D58,Settings!$A$5:$C$14,3,FALSE()),"")</f>
        <v>3</v>
      </c>
      <c r="I58" s="37" t="n">
        <f aca="false">IF(C58="","",C58-B58)</f>
        <v>2</v>
      </c>
      <c r="J58" s="38" t="str">
        <f aca="false">IF(I58="","",IF(I58&gt;H58,"Delayed","On Time"))</f>
        <v>On Time</v>
      </c>
      <c r="K58" s="37" t="str">
        <f aca="false">IF(J58="Delayed",I58-H58,"")</f>
        <v/>
      </c>
    </row>
    <row r="59" customFormat="false" ht="15" hidden="false" customHeight="false" outlineLevel="0" collapsed="false">
      <c r="A59" s="35" t="s">
        <v>123</v>
      </c>
      <c r="B59" s="36" t="n">
        <v>46212</v>
      </c>
      <c r="C59" s="36" t="n">
        <v>46216</v>
      </c>
      <c r="D59" s="35" t="s">
        <v>52</v>
      </c>
      <c r="E59" s="35" t="s">
        <v>33</v>
      </c>
      <c r="F59" s="35" t="s">
        <v>15</v>
      </c>
      <c r="G59" s="35"/>
      <c r="H59" s="37" t="n">
        <f aca="false">IFERROR(VLOOKUP(D59,Settings!$A$5:$C$14,3,FALSE()),"")</f>
        <v>4</v>
      </c>
      <c r="I59" s="37" t="n">
        <f aca="false">IF(C59="","",C59-B59)</f>
        <v>4</v>
      </c>
      <c r="J59" s="38" t="str">
        <f aca="false">IF(I59="","",IF(I59&gt;H59,"Delayed","On Time"))</f>
        <v>On Time</v>
      </c>
      <c r="K59" s="37" t="str">
        <f aca="false">IF(J59="Delayed",I59-H59,"")</f>
        <v/>
      </c>
    </row>
    <row r="60" customFormat="false" ht="15" hidden="false" customHeight="false" outlineLevel="0" collapsed="false">
      <c r="A60" s="35" t="s">
        <v>124</v>
      </c>
      <c r="B60" s="36" t="n">
        <v>46212</v>
      </c>
      <c r="C60" s="36" t="n">
        <v>46218</v>
      </c>
      <c r="D60" s="35" t="s">
        <v>53</v>
      </c>
      <c r="E60" s="35" t="s">
        <v>33</v>
      </c>
      <c r="F60" s="35" t="s">
        <v>15</v>
      </c>
      <c r="G60" s="35"/>
      <c r="H60" s="37" t="n">
        <f aca="false">IFERROR(VLOOKUP(D60,Settings!$A$5:$C$14,3,FALSE()),"")</f>
        <v>5</v>
      </c>
      <c r="I60" s="37" t="n">
        <f aca="false">IF(C60="","",C60-B60)</f>
        <v>6</v>
      </c>
      <c r="J60" s="38" t="str">
        <f aca="false">IF(I60="","",IF(I60&gt;H60,"Delayed","On Time"))</f>
        <v>Delayed</v>
      </c>
      <c r="K60" s="37" t="n">
        <f aca="false">IF(J60="Delayed",I60-H60,"")</f>
        <v>1</v>
      </c>
    </row>
    <row r="61" customFormat="false" ht="15" hidden="false" customHeight="false" outlineLevel="0" collapsed="false">
      <c r="A61" s="35" t="s">
        <v>125</v>
      </c>
      <c r="B61" s="36" t="n">
        <v>46212</v>
      </c>
      <c r="C61" s="36" t="n">
        <v>46214</v>
      </c>
      <c r="D61" s="35" t="s">
        <v>44</v>
      </c>
      <c r="E61" s="35" t="s">
        <v>34</v>
      </c>
      <c r="F61" s="35" t="s">
        <v>15</v>
      </c>
      <c r="G61" s="35"/>
      <c r="H61" s="37" t="n">
        <f aca="false">IFERROR(VLOOKUP(D61,Settings!$A$5:$C$14,3,FALSE()),"")</f>
        <v>3</v>
      </c>
      <c r="I61" s="37" t="n">
        <f aca="false">IF(C61="","",C61-B61)</f>
        <v>2</v>
      </c>
      <c r="J61" s="38" t="str">
        <f aca="false">IF(I61="","",IF(I61&gt;H61,"Delayed","On Time"))</f>
        <v>On Time</v>
      </c>
      <c r="K61" s="37" t="str">
        <f aca="false">IF(J61="Delayed",I61-H61,"")</f>
        <v/>
      </c>
    </row>
    <row r="62" customFormat="false" ht="15" hidden="false" customHeight="false" outlineLevel="0" collapsed="false">
      <c r="A62" s="35" t="s">
        <v>126</v>
      </c>
      <c r="B62" s="36" t="n">
        <v>46212</v>
      </c>
      <c r="C62" s="36" t="n">
        <v>46214</v>
      </c>
      <c r="D62" s="35" t="s">
        <v>46</v>
      </c>
      <c r="E62" s="35" t="s">
        <v>36</v>
      </c>
      <c r="F62" s="35" t="s">
        <v>15</v>
      </c>
      <c r="G62" s="35"/>
      <c r="H62" s="37" t="n">
        <f aca="false">IFERROR(VLOOKUP(D62,Settings!$A$5:$C$14,3,FALSE()),"")</f>
        <v>3</v>
      </c>
      <c r="I62" s="37" t="n">
        <f aca="false">IF(C62="","",C62-B62)</f>
        <v>2</v>
      </c>
      <c r="J62" s="38" t="str">
        <f aca="false">IF(I62="","",IF(I62&gt;H62,"Delayed","On Time"))</f>
        <v>On Time</v>
      </c>
      <c r="K62" s="37" t="str">
        <f aca="false">IF(J62="Delayed",I62-H62,"")</f>
        <v/>
      </c>
    </row>
    <row r="63" customFormat="false" ht="15" hidden="false" customHeight="false" outlineLevel="0" collapsed="false">
      <c r="A63" s="35" t="s">
        <v>127</v>
      </c>
      <c r="B63" s="36" t="n">
        <v>46212</v>
      </c>
      <c r="C63" s="36" t="n">
        <v>46215</v>
      </c>
      <c r="D63" s="35" t="s">
        <v>46</v>
      </c>
      <c r="E63" s="35" t="s">
        <v>35</v>
      </c>
      <c r="F63" s="35" t="s">
        <v>15</v>
      </c>
      <c r="G63" s="35"/>
      <c r="H63" s="37" t="n">
        <f aca="false">IFERROR(VLOOKUP(D63,Settings!$A$5:$C$14,3,FALSE()),"")</f>
        <v>3</v>
      </c>
      <c r="I63" s="37" t="n">
        <f aca="false">IF(C63="","",C63-B63)</f>
        <v>3</v>
      </c>
      <c r="J63" s="38" t="str">
        <f aca="false">IF(I63="","",IF(I63&gt;H63,"Delayed","On Time"))</f>
        <v>On Time</v>
      </c>
      <c r="K63" s="37" t="str">
        <f aca="false">IF(J63="Delayed",I63-H63,"")</f>
        <v/>
      </c>
    </row>
    <row r="64" customFormat="false" ht="15" hidden="false" customHeight="false" outlineLevel="0" collapsed="false">
      <c r="A64" s="35" t="s">
        <v>128</v>
      </c>
      <c r="B64" s="36" t="n">
        <v>46212</v>
      </c>
      <c r="C64" s="36" t="n">
        <v>46214</v>
      </c>
      <c r="D64" s="35" t="s">
        <v>46</v>
      </c>
      <c r="E64" s="35" t="s">
        <v>36</v>
      </c>
      <c r="F64" s="35" t="s">
        <v>17</v>
      </c>
      <c r="G64" s="35" t="s">
        <v>51</v>
      </c>
      <c r="H64" s="37" t="n">
        <f aca="false">IFERROR(VLOOKUP(D64,Settings!$A$5:$C$14,3,FALSE()),"")</f>
        <v>3</v>
      </c>
      <c r="I64" s="37" t="n">
        <f aca="false">IF(C64="","",C64-B64)</f>
        <v>2</v>
      </c>
      <c r="J64" s="38" t="str">
        <f aca="false">IF(I64="","",IF(I64&gt;H64,"Delayed","On Time"))</f>
        <v>On Time</v>
      </c>
      <c r="K64" s="37" t="str">
        <f aca="false">IF(J64="Delayed",I64-H64,"")</f>
        <v/>
      </c>
    </row>
    <row r="65" customFormat="false" ht="15" hidden="false" customHeight="false" outlineLevel="0" collapsed="false">
      <c r="A65" s="35" t="s">
        <v>129</v>
      </c>
      <c r="B65" s="36" t="n">
        <v>46212</v>
      </c>
      <c r="C65" s="36" t="n">
        <v>46215</v>
      </c>
      <c r="D65" s="35" t="s">
        <v>52</v>
      </c>
      <c r="E65" s="35" t="s">
        <v>33</v>
      </c>
      <c r="F65" s="35" t="s">
        <v>15</v>
      </c>
      <c r="G65" s="35"/>
      <c r="H65" s="37" t="n">
        <f aca="false">IFERROR(VLOOKUP(D65,Settings!$A$5:$C$14,3,FALSE()),"")</f>
        <v>4</v>
      </c>
      <c r="I65" s="37" t="n">
        <f aca="false">IF(C65="","",C65-B65)</f>
        <v>3</v>
      </c>
      <c r="J65" s="38" t="str">
        <f aca="false">IF(I65="","",IF(I65&gt;H65,"Delayed","On Time"))</f>
        <v>On Time</v>
      </c>
      <c r="K65" s="37" t="str">
        <f aca="false">IF(J65="Delayed",I65-H65,"")</f>
        <v/>
      </c>
    </row>
    <row r="66" customFormat="false" ht="15" hidden="false" customHeight="false" outlineLevel="0" collapsed="false">
      <c r="A66" s="35" t="s">
        <v>130</v>
      </c>
      <c r="B66" s="36" t="n">
        <v>46212</v>
      </c>
      <c r="C66" s="36" t="n">
        <v>46216</v>
      </c>
      <c r="D66" s="35" t="s">
        <v>46</v>
      </c>
      <c r="E66" s="35" t="s">
        <v>35</v>
      </c>
      <c r="F66" s="35" t="s">
        <v>15</v>
      </c>
      <c r="G66" s="35"/>
      <c r="H66" s="37" t="n">
        <f aca="false">IFERROR(VLOOKUP(D66,Settings!$A$5:$C$14,3,FALSE()),"")</f>
        <v>3</v>
      </c>
      <c r="I66" s="37" t="n">
        <f aca="false">IF(C66="","",C66-B66)</f>
        <v>4</v>
      </c>
      <c r="J66" s="38" t="str">
        <f aca="false">IF(I66="","",IF(I66&gt;H66,"Delayed","On Time"))</f>
        <v>Delayed</v>
      </c>
      <c r="K66" s="37" t="n">
        <f aca="false">IF(J66="Delayed",I66-H66,"")</f>
        <v>1</v>
      </c>
    </row>
    <row r="67" customFormat="false" ht="15" hidden="false" customHeight="false" outlineLevel="0" collapsed="false">
      <c r="A67" s="35" t="s">
        <v>131</v>
      </c>
      <c r="B67" s="36" t="n">
        <v>46212</v>
      </c>
      <c r="C67" s="36" t="n">
        <v>46213</v>
      </c>
      <c r="D67" s="35" t="s">
        <v>50</v>
      </c>
      <c r="E67" s="35" t="s">
        <v>33</v>
      </c>
      <c r="F67" s="35" t="s">
        <v>15</v>
      </c>
      <c r="G67" s="35"/>
      <c r="H67" s="37" t="n">
        <f aca="false">IFERROR(VLOOKUP(D67,Settings!$A$5:$C$14,3,FALSE()),"")</f>
        <v>3</v>
      </c>
      <c r="I67" s="37" t="n">
        <f aca="false">IF(C67="","",C67-B67)</f>
        <v>1</v>
      </c>
      <c r="J67" s="38" t="str">
        <f aca="false">IF(I67="","",IF(I67&gt;H67,"Delayed","On Time"))</f>
        <v>On Time</v>
      </c>
      <c r="K67" s="37" t="str">
        <f aca="false">IF(J67="Delayed",I67-H67,"")</f>
        <v/>
      </c>
    </row>
    <row r="68" customFormat="false" ht="15" hidden="false" customHeight="false" outlineLevel="0" collapsed="false">
      <c r="A68" s="35" t="s">
        <v>132</v>
      </c>
      <c r="B68" s="36" t="n">
        <v>46212</v>
      </c>
      <c r="C68" s="36" t="n">
        <v>46214</v>
      </c>
      <c r="D68" s="35" t="s">
        <v>48</v>
      </c>
      <c r="E68" s="35" t="s">
        <v>33</v>
      </c>
      <c r="F68" s="35" t="s">
        <v>15</v>
      </c>
      <c r="G68" s="35"/>
      <c r="H68" s="37" t="n">
        <f aca="false">IFERROR(VLOOKUP(D68,Settings!$A$5:$C$14,3,FALSE()),"")</f>
        <v>3</v>
      </c>
      <c r="I68" s="37" t="n">
        <f aca="false">IF(C68="","",C68-B68)</f>
        <v>2</v>
      </c>
      <c r="J68" s="38" t="str">
        <f aca="false">IF(I68="","",IF(I68&gt;H68,"Delayed","On Time"))</f>
        <v>On Time</v>
      </c>
      <c r="K68" s="37" t="str">
        <f aca="false">IF(J68="Delayed",I68-H68,"")</f>
        <v/>
      </c>
    </row>
    <row r="69" customFormat="false" ht="15" hidden="false" customHeight="false" outlineLevel="0" collapsed="false">
      <c r="A69" s="35" t="s">
        <v>133</v>
      </c>
      <c r="B69" s="36" t="n">
        <v>46212</v>
      </c>
      <c r="C69" s="36" t="n">
        <v>46217</v>
      </c>
      <c r="D69" s="35" t="s">
        <v>44</v>
      </c>
      <c r="E69" s="35" t="s">
        <v>35</v>
      </c>
      <c r="F69" s="35" t="s">
        <v>17</v>
      </c>
      <c r="G69" s="35" t="s">
        <v>49</v>
      </c>
      <c r="H69" s="37" t="n">
        <f aca="false">IFERROR(VLOOKUP(D69,Settings!$A$5:$C$14,3,FALSE()),"")</f>
        <v>3</v>
      </c>
      <c r="I69" s="37" t="n">
        <f aca="false">IF(C69="","",C69-B69)</f>
        <v>5</v>
      </c>
      <c r="J69" s="38" t="str">
        <f aca="false">IF(I69="","",IF(I69&gt;H69,"Delayed","On Time"))</f>
        <v>Delayed</v>
      </c>
      <c r="K69" s="37" t="n">
        <f aca="false">IF(J69="Delayed",I69-H69,"")</f>
        <v>2</v>
      </c>
    </row>
    <row r="70" customFormat="false" ht="15" hidden="false" customHeight="false" outlineLevel="0" collapsed="false">
      <c r="A70" s="35" t="s">
        <v>134</v>
      </c>
      <c r="B70" s="36" t="n">
        <v>46213</v>
      </c>
      <c r="C70" s="36" t="n">
        <v>46217</v>
      </c>
      <c r="D70" s="35" t="s">
        <v>53</v>
      </c>
      <c r="E70" s="35" t="s">
        <v>34</v>
      </c>
      <c r="F70" s="35" t="s">
        <v>15</v>
      </c>
      <c r="G70" s="35"/>
      <c r="H70" s="37" t="n">
        <f aca="false">IFERROR(VLOOKUP(D70,Settings!$A$5:$C$14,3,FALSE()),"")</f>
        <v>5</v>
      </c>
      <c r="I70" s="37" t="n">
        <f aca="false">IF(C70="","",C70-B70)</f>
        <v>4</v>
      </c>
      <c r="J70" s="38" t="str">
        <f aca="false">IF(I70="","",IF(I70&gt;H70,"Delayed","On Time"))</f>
        <v>On Time</v>
      </c>
      <c r="K70" s="37" t="str">
        <f aca="false">IF(J70="Delayed",I70-H70,"")</f>
        <v/>
      </c>
    </row>
    <row r="71" customFormat="false" ht="15" hidden="false" customHeight="false" outlineLevel="0" collapsed="false">
      <c r="A71" s="35" t="s">
        <v>135</v>
      </c>
      <c r="B71" s="36" t="n">
        <v>46213</v>
      </c>
      <c r="C71" s="36" t="n">
        <v>46215</v>
      </c>
      <c r="D71" s="35" t="s">
        <v>48</v>
      </c>
      <c r="E71" s="35" t="s">
        <v>34</v>
      </c>
      <c r="F71" s="35" t="s">
        <v>15</v>
      </c>
      <c r="G71" s="35"/>
      <c r="H71" s="37" t="n">
        <f aca="false">IFERROR(VLOOKUP(D71,Settings!$A$5:$C$14,3,FALSE()),"")</f>
        <v>3</v>
      </c>
      <c r="I71" s="37" t="n">
        <f aca="false">IF(C71="","",C71-B71)</f>
        <v>2</v>
      </c>
      <c r="J71" s="38" t="str">
        <f aca="false">IF(I71="","",IF(I71&gt;H71,"Delayed","On Time"))</f>
        <v>On Time</v>
      </c>
      <c r="K71" s="37" t="str">
        <f aca="false">IF(J71="Delayed",I71-H71,"")</f>
        <v/>
      </c>
    </row>
    <row r="72" customFormat="false" ht="15" hidden="false" customHeight="false" outlineLevel="0" collapsed="false">
      <c r="A72" s="35" t="s">
        <v>136</v>
      </c>
      <c r="B72" s="36" t="n">
        <v>46213</v>
      </c>
      <c r="C72" s="36" t="n">
        <v>46217</v>
      </c>
      <c r="D72" s="35" t="s">
        <v>46</v>
      </c>
      <c r="E72" s="35" t="s">
        <v>36</v>
      </c>
      <c r="F72" s="35" t="s">
        <v>15</v>
      </c>
      <c r="G72" s="35"/>
      <c r="H72" s="37" t="n">
        <f aca="false">IFERROR(VLOOKUP(D72,Settings!$A$5:$C$14,3,FALSE()),"")</f>
        <v>3</v>
      </c>
      <c r="I72" s="37" t="n">
        <f aca="false">IF(C72="","",C72-B72)</f>
        <v>4</v>
      </c>
      <c r="J72" s="38" t="str">
        <f aca="false">IF(I72="","",IF(I72&gt;H72,"Delayed","On Time"))</f>
        <v>Delayed</v>
      </c>
      <c r="K72" s="37" t="n">
        <f aca="false">IF(J72="Delayed",I72-H72,"")</f>
        <v>1</v>
      </c>
    </row>
    <row r="73" customFormat="false" ht="15" hidden="false" customHeight="false" outlineLevel="0" collapsed="false">
      <c r="A73" s="35" t="s">
        <v>137</v>
      </c>
      <c r="B73" s="36" t="n">
        <v>46213</v>
      </c>
      <c r="C73" s="36" t="n">
        <v>46216</v>
      </c>
      <c r="D73" s="35" t="s">
        <v>48</v>
      </c>
      <c r="E73" s="35" t="s">
        <v>35</v>
      </c>
      <c r="F73" s="35" t="s">
        <v>15</v>
      </c>
      <c r="G73" s="35"/>
      <c r="H73" s="37" t="n">
        <f aca="false">IFERROR(VLOOKUP(D73,Settings!$A$5:$C$14,3,FALSE()),"")</f>
        <v>3</v>
      </c>
      <c r="I73" s="37" t="n">
        <f aca="false">IF(C73="","",C73-B73)</f>
        <v>3</v>
      </c>
      <c r="J73" s="38" t="str">
        <f aca="false">IF(I73="","",IF(I73&gt;H73,"Delayed","On Time"))</f>
        <v>On Time</v>
      </c>
      <c r="K73" s="37" t="str">
        <f aca="false">IF(J73="Delayed",I73-H73,"")</f>
        <v/>
      </c>
    </row>
    <row r="74" customFormat="false" ht="15" hidden="false" customHeight="false" outlineLevel="0" collapsed="false">
      <c r="A74" s="35" t="s">
        <v>138</v>
      </c>
      <c r="B74" s="36" t="n">
        <v>46213</v>
      </c>
      <c r="C74" s="36" t="n">
        <v>46217</v>
      </c>
      <c r="D74" s="35" t="s">
        <v>53</v>
      </c>
      <c r="E74" s="35" t="s">
        <v>34</v>
      </c>
      <c r="F74" s="35" t="s">
        <v>17</v>
      </c>
      <c r="G74" s="35" t="s">
        <v>51</v>
      </c>
      <c r="H74" s="37" t="n">
        <f aca="false">IFERROR(VLOOKUP(D74,Settings!$A$5:$C$14,3,FALSE()),"")</f>
        <v>5</v>
      </c>
      <c r="I74" s="37" t="n">
        <f aca="false">IF(C74="","",C74-B74)</f>
        <v>4</v>
      </c>
      <c r="J74" s="38" t="str">
        <f aca="false">IF(I74="","",IF(I74&gt;H74,"Delayed","On Time"))</f>
        <v>On Time</v>
      </c>
      <c r="K74" s="37" t="str">
        <f aca="false">IF(J74="Delayed",I74-H74,"")</f>
        <v/>
      </c>
    </row>
    <row r="75" customFormat="false" ht="15" hidden="false" customHeight="false" outlineLevel="0" collapsed="false">
      <c r="A75" s="35" t="s">
        <v>139</v>
      </c>
      <c r="B75" s="36" t="n">
        <v>46213</v>
      </c>
      <c r="C75" s="36"/>
      <c r="D75" s="35" t="s">
        <v>53</v>
      </c>
      <c r="E75" s="35" t="s">
        <v>34</v>
      </c>
      <c r="F75" s="35" t="s">
        <v>18</v>
      </c>
      <c r="G75" s="35" t="s">
        <v>49</v>
      </c>
      <c r="H75" s="37" t="n">
        <f aca="false">IFERROR(VLOOKUP(D75,Settings!$A$5:$C$14,3,FALSE()),"")</f>
        <v>5</v>
      </c>
      <c r="I75" s="37" t="str">
        <f aca="false">IF(C75="","",C75-B75)</f>
        <v/>
      </c>
      <c r="J75" s="38" t="str">
        <f aca="false">IF(I75="","",IF(I75&gt;H75,"Delayed","On Time"))</f>
        <v/>
      </c>
      <c r="K75" s="37" t="str">
        <f aca="false">IF(J75="Delayed",I75-H75,"")</f>
        <v/>
      </c>
    </row>
    <row r="76" customFormat="false" ht="15" hidden="false" customHeight="false" outlineLevel="0" collapsed="false">
      <c r="A76" s="35" t="s">
        <v>140</v>
      </c>
      <c r="B76" s="36" t="n">
        <v>46213</v>
      </c>
      <c r="C76" s="36" t="n">
        <v>46216</v>
      </c>
      <c r="D76" s="35" t="s">
        <v>46</v>
      </c>
      <c r="E76" s="35" t="s">
        <v>34</v>
      </c>
      <c r="F76" s="35" t="s">
        <v>15</v>
      </c>
      <c r="G76" s="35"/>
      <c r="H76" s="37" t="n">
        <f aca="false">IFERROR(VLOOKUP(D76,Settings!$A$5:$C$14,3,FALSE()),"")</f>
        <v>3</v>
      </c>
      <c r="I76" s="37" t="n">
        <f aca="false">IF(C76="","",C76-B76)</f>
        <v>3</v>
      </c>
      <c r="J76" s="38" t="str">
        <f aca="false">IF(I76="","",IF(I76&gt;H76,"Delayed","On Time"))</f>
        <v>On Time</v>
      </c>
      <c r="K76" s="37" t="str">
        <f aca="false">IF(J76="Delayed",I76-H76,"")</f>
        <v/>
      </c>
    </row>
    <row r="77" customFormat="false" ht="15" hidden="false" customHeight="false" outlineLevel="0" collapsed="false">
      <c r="A77" s="35" t="s">
        <v>141</v>
      </c>
      <c r="B77" s="36" t="n">
        <v>46213</v>
      </c>
      <c r="C77" s="36" t="n">
        <v>46216</v>
      </c>
      <c r="D77" s="35" t="s">
        <v>48</v>
      </c>
      <c r="E77" s="35" t="s">
        <v>33</v>
      </c>
      <c r="F77" s="35" t="s">
        <v>15</v>
      </c>
      <c r="G77" s="35"/>
      <c r="H77" s="37" t="n">
        <f aca="false">IFERROR(VLOOKUP(D77,Settings!$A$5:$C$14,3,FALSE()),"")</f>
        <v>3</v>
      </c>
      <c r="I77" s="37" t="n">
        <f aca="false">IF(C77="","",C77-B77)</f>
        <v>3</v>
      </c>
      <c r="J77" s="38" t="str">
        <f aca="false">IF(I77="","",IF(I77&gt;H77,"Delayed","On Time"))</f>
        <v>On Time</v>
      </c>
      <c r="K77" s="37" t="str">
        <f aca="false">IF(J77="Delayed",I77-H77,"")</f>
        <v/>
      </c>
    </row>
    <row r="78" customFormat="false" ht="15" hidden="false" customHeight="false" outlineLevel="0" collapsed="false">
      <c r="A78" s="35" t="s">
        <v>142</v>
      </c>
      <c r="B78" s="36" t="n">
        <v>46213</v>
      </c>
      <c r="C78" s="36"/>
      <c r="D78" s="35" t="s">
        <v>53</v>
      </c>
      <c r="E78" s="35" t="s">
        <v>36</v>
      </c>
      <c r="F78" s="35" t="s">
        <v>18</v>
      </c>
      <c r="G78" s="35" t="s">
        <v>47</v>
      </c>
      <c r="H78" s="37" t="n">
        <f aca="false">IFERROR(VLOOKUP(D78,Settings!$A$5:$C$14,3,FALSE()),"")</f>
        <v>5</v>
      </c>
      <c r="I78" s="37" t="str">
        <f aca="false">IF(C78="","",C78-B78)</f>
        <v/>
      </c>
      <c r="J78" s="38" t="str">
        <f aca="false">IF(I78="","",IF(I78&gt;H78,"Delayed","On Time"))</f>
        <v/>
      </c>
      <c r="K78" s="37" t="str">
        <f aca="false">IF(J78="Delayed",I78-H78,"")</f>
        <v/>
      </c>
    </row>
    <row r="79" customFormat="false" ht="15" hidden="false" customHeight="false" outlineLevel="0" collapsed="false">
      <c r="A79" s="35" t="s">
        <v>143</v>
      </c>
      <c r="B79" s="36" t="n">
        <v>46213</v>
      </c>
      <c r="C79" s="36" t="n">
        <v>46217</v>
      </c>
      <c r="D79" s="35" t="s">
        <v>48</v>
      </c>
      <c r="E79" s="35" t="s">
        <v>35</v>
      </c>
      <c r="F79" s="35" t="s">
        <v>15</v>
      </c>
      <c r="G79" s="35"/>
      <c r="H79" s="37" t="n">
        <f aca="false">IFERROR(VLOOKUP(D79,Settings!$A$5:$C$14,3,FALSE()),"")</f>
        <v>3</v>
      </c>
      <c r="I79" s="37" t="n">
        <f aca="false">IF(C79="","",C79-B79)</f>
        <v>4</v>
      </c>
      <c r="J79" s="38" t="str">
        <f aca="false">IF(I79="","",IF(I79&gt;H79,"Delayed","On Time"))</f>
        <v>Delayed</v>
      </c>
      <c r="K79" s="37" t="n">
        <f aca="false">IF(J79="Delayed",I79-H79,"")</f>
        <v>1</v>
      </c>
    </row>
    <row r="80" customFormat="false" ht="15" hidden="false" customHeight="false" outlineLevel="0" collapsed="false">
      <c r="A80" s="35" t="s">
        <v>144</v>
      </c>
      <c r="B80" s="36" t="n">
        <v>46214</v>
      </c>
      <c r="C80" s="36" t="n">
        <v>46220</v>
      </c>
      <c r="D80" s="35" t="s">
        <v>46</v>
      </c>
      <c r="E80" s="35" t="s">
        <v>34</v>
      </c>
      <c r="F80" s="35" t="s">
        <v>15</v>
      </c>
      <c r="G80" s="35"/>
      <c r="H80" s="37" t="n">
        <f aca="false">IFERROR(VLOOKUP(D80,Settings!$A$5:$C$14,3,FALSE()),"")</f>
        <v>3</v>
      </c>
      <c r="I80" s="37" t="n">
        <f aca="false">IF(C80="","",C80-B80)</f>
        <v>6</v>
      </c>
      <c r="J80" s="38" t="str">
        <f aca="false">IF(I80="","",IF(I80&gt;H80,"Delayed","On Time"))</f>
        <v>Delayed</v>
      </c>
      <c r="K80" s="37" t="n">
        <f aca="false">IF(J80="Delayed",I80-H80,"")</f>
        <v>3</v>
      </c>
    </row>
    <row r="81" customFormat="false" ht="15" hidden="false" customHeight="false" outlineLevel="0" collapsed="false">
      <c r="A81" s="35" t="s">
        <v>145</v>
      </c>
      <c r="B81" s="36" t="n">
        <v>46214</v>
      </c>
      <c r="C81" s="36" t="n">
        <v>46218</v>
      </c>
      <c r="D81" s="35" t="s">
        <v>55</v>
      </c>
      <c r="E81" s="35" t="s">
        <v>33</v>
      </c>
      <c r="F81" s="35" t="s">
        <v>15</v>
      </c>
      <c r="G81" s="35"/>
      <c r="H81" s="37" t="n">
        <f aca="false">IFERROR(VLOOKUP(D81,Settings!$A$5:$C$14,3,FALSE()),"")</f>
        <v>5</v>
      </c>
      <c r="I81" s="37" t="n">
        <f aca="false">IF(C81="","",C81-B81)</f>
        <v>4</v>
      </c>
      <c r="J81" s="38" t="str">
        <f aca="false">IF(I81="","",IF(I81&gt;H81,"Delayed","On Time"))</f>
        <v>On Time</v>
      </c>
      <c r="K81" s="37" t="str">
        <f aca="false">IF(J81="Delayed",I81-H81,"")</f>
        <v/>
      </c>
    </row>
    <row r="82" customFormat="false" ht="15" hidden="false" customHeight="false" outlineLevel="0" collapsed="false">
      <c r="A82" s="35" t="s">
        <v>146</v>
      </c>
      <c r="B82" s="36" t="n">
        <v>46214</v>
      </c>
      <c r="C82" s="36" t="n">
        <v>46217</v>
      </c>
      <c r="D82" s="35" t="s">
        <v>50</v>
      </c>
      <c r="E82" s="35" t="s">
        <v>34</v>
      </c>
      <c r="F82" s="35" t="s">
        <v>15</v>
      </c>
      <c r="G82" s="35"/>
      <c r="H82" s="37" t="n">
        <f aca="false">IFERROR(VLOOKUP(D82,Settings!$A$5:$C$14,3,FALSE()),"")</f>
        <v>3</v>
      </c>
      <c r="I82" s="37" t="n">
        <f aca="false">IF(C82="","",C82-B82)</f>
        <v>3</v>
      </c>
      <c r="J82" s="38" t="str">
        <f aca="false">IF(I82="","",IF(I82&gt;H82,"Delayed","On Time"))</f>
        <v>On Time</v>
      </c>
      <c r="K82" s="37" t="str">
        <f aca="false">IF(J82="Delayed",I82-H82,"")</f>
        <v/>
      </c>
    </row>
    <row r="83" customFormat="false" ht="15" hidden="false" customHeight="false" outlineLevel="0" collapsed="false">
      <c r="A83" s="35" t="s">
        <v>147</v>
      </c>
      <c r="B83" s="36" t="n">
        <v>46214</v>
      </c>
      <c r="C83" s="36" t="n">
        <v>46217</v>
      </c>
      <c r="D83" s="35" t="s">
        <v>44</v>
      </c>
      <c r="E83" s="35" t="s">
        <v>33</v>
      </c>
      <c r="F83" s="35" t="s">
        <v>15</v>
      </c>
      <c r="G83" s="35"/>
      <c r="H83" s="37" t="n">
        <f aca="false">IFERROR(VLOOKUP(D83,Settings!$A$5:$C$14,3,FALSE()),"")</f>
        <v>3</v>
      </c>
      <c r="I83" s="37" t="n">
        <f aca="false">IF(C83="","",C83-B83)</f>
        <v>3</v>
      </c>
      <c r="J83" s="38" t="str">
        <f aca="false">IF(I83="","",IF(I83&gt;H83,"Delayed","On Time"))</f>
        <v>On Time</v>
      </c>
      <c r="K83" s="37" t="str">
        <f aca="false">IF(J83="Delayed",I83-H83,"")</f>
        <v/>
      </c>
    </row>
    <row r="84" customFormat="false" ht="15" hidden="false" customHeight="false" outlineLevel="0" collapsed="false">
      <c r="A84" s="35" t="s">
        <v>148</v>
      </c>
      <c r="B84" s="36" t="n">
        <v>46214</v>
      </c>
      <c r="C84" s="36" t="n">
        <v>46215</v>
      </c>
      <c r="D84" s="35" t="s">
        <v>48</v>
      </c>
      <c r="E84" s="35" t="s">
        <v>33</v>
      </c>
      <c r="F84" s="35" t="s">
        <v>15</v>
      </c>
      <c r="G84" s="35"/>
      <c r="H84" s="37" t="n">
        <f aca="false">IFERROR(VLOOKUP(D84,Settings!$A$5:$C$14,3,FALSE()),"")</f>
        <v>3</v>
      </c>
      <c r="I84" s="37" t="n">
        <f aca="false">IF(C84="","",C84-B84)</f>
        <v>1</v>
      </c>
      <c r="J84" s="38" t="str">
        <f aca="false">IF(I84="","",IF(I84&gt;H84,"Delayed","On Time"))</f>
        <v>On Time</v>
      </c>
      <c r="K84" s="37" t="str">
        <f aca="false">IF(J84="Delayed",I84-H84,"")</f>
        <v/>
      </c>
    </row>
    <row r="85" customFormat="false" ht="15" hidden="false" customHeight="false" outlineLevel="0" collapsed="false">
      <c r="A85" s="35" t="s">
        <v>149</v>
      </c>
      <c r="B85" s="36" t="n">
        <v>46214</v>
      </c>
      <c r="C85" s="36" t="n">
        <v>46217</v>
      </c>
      <c r="D85" s="35" t="s">
        <v>44</v>
      </c>
      <c r="E85" s="35" t="s">
        <v>33</v>
      </c>
      <c r="F85" s="35" t="s">
        <v>15</v>
      </c>
      <c r="G85" s="35"/>
      <c r="H85" s="37" t="n">
        <f aca="false">IFERROR(VLOOKUP(D85,Settings!$A$5:$C$14,3,FALSE()),"")</f>
        <v>3</v>
      </c>
      <c r="I85" s="37" t="n">
        <f aca="false">IF(C85="","",C85-B85)</f>
        <v>3</v>
      </c>
      <c r="J85" s="38" t="str">
        <f aca="false">IF(I85="","",IF(I85&gt;H85,"Delayed","On Time"))</f>
        <v>On Time</v>
      </c>
      <c r="K85" s="37" t="str">
        <f aca="false">IF(J85="Delayed",I85-H85,"")</f>
        <v/>
      </c>
    </row>
    <row r="86" customFormat="false" ht="15" hidden="false" customHeight="false" outlineLevel="0" collapsed="false">
      <c r="A86" s="35" t="s">
        <v>150</v>
      </c>
      <c r="B86" s="36" t="n">
        <v>46214</v>
      </c>
      <c r="C86" s="36" t="n">
        <v>46218</v>
      </c>
      <c r="D86" s="35" t="s">
        <v>54</v>
      </c>
      <c r="E86" s="35" t="s">
        <v>33</v>
      </c>
      <c r="F86" s="35" t="s">
        <v>15</v>
      </c>
      <c r="G86" s="35"/>
      <c r="H86" s="37" t="n">
        <f aca="false">IFERROR(VLOOKUP(D86,Settings!$A$5:$C$14,3,FALSE()),"")</f>
        <v>5</v>
      </c>
      <c r="I86" s="37" t="n">
        <f aca="false">IF(C86="","",C86-B86)</f>
        <v>4</v>
      </c>
      <c r="J86" s="38" t="str">
        <f aca="false">IF(I86="","",IF(I86&gt;H86,"Delayed","On Time"))</f>
        <v>On Time</v>
      </c>
      <c r="K86" s="37" t="str">
        <f aca="false">IF(J86="Delayed",I86-H86,"")</f>
        <v/>
      </c>
    </row>
    <row r="87" customFormat="false" ht="15" hidden="false" customHeight="false" outlineLevel="0" collapsed="false">
      <c r="A87" s="35" t="s">
        <v>151</v>
      </c>
      <c r="B87" s="36" t="n">
        <v>46214</v>
      </c>
      <c r="C87" s="36" t="n">
        <v>46218</v>
      </c>
      <c r="D87" s="35" t="s">
        <v>55</v>
      </c>
      <c r="E87" s="35" t="s">
        <v>34</v>
      </c>
      <c r="F87" s="35" t="s">
        <v>15</v>
      </c>
      <c r="G87" s="35"/>
      <c r="H87" s="37" t="n">
        <f aca="false">IFERROR(VLOOKUP(D87,Settings!$A$5:$C$14,3,FALSE()),"")</f>
        <v>5</v>
      </c>
      <c r="I87" s="37" t="n">
        <f aca="false">IF(C87="","",C87-B87)</f>
        <v>4</v>
      </c>
      <c r="J87" s="38" t="str">
        <f aca="false">IF(I87="","",IF(I87&gt;H87,"Delayed","On Time"))</f>
        <v>On Time</v>
      </c>
      <c r="K87" s="37" t="str">
        <f aca="false">IF(J87="Delayed",I87-H87,"")</f>
        <v/>
      </c>
    </row>
    <row r="88" customFormat="false" ht="15" hidden="false" customHeight="false" outlineLevel="0" collapsed="false">
      <c r="A88" s="35" t="s">
        <v>152</v>
      </c>
      <c r="B88" s="36" t="n">
        <v>46214</v>
      </c>
      <c r="C88" s="36" t="n">
        <v>46218</v>
      </c>
      <c r="D88" s="35" t="s">
        <v>46</v>
      </c>
      <c r="E88" s="35" t="s">
        <v>35</v>
      </c>
      <c r="F88" s="35" t="s">
        <v>15</v>
      </c>
      <c r="G88" s="35"/>
      <c r="H88" s="37" t="n">
        <f aca="false">IFERROR(VLOOKUP(D88,Settings!$A$5:$C$14,3,FALSE()),"")</f>
        <v>3</v>
      </c>
      <c r="I88" s="37" t="n">
        <f aca="false">IF(C88="","",C88-B88)</f>
        <v>4</v>
      </c>
      <c r="J88" s="38" t="str">
        <f aca="false">IF(I88="","",IF(I88&gt;H88,"Delayed","On Time"))</f>
        <v>Delayed</v>
      </c>
      <c r="K88" s="37" t="n">
        <f aca="false">IF(J88="Delayed",I88-H88,"")</f>
        <v>1</v>
      </c>
    </row>
    <row r="89" customFormat="false" ht="15" hidden="false" customHeight="false" outlineLevel="0" collapsed="false">
      <c r="A89" s="35" t="s">
        <v>153</v>
      </c>
      <c r="B89" s="36" t="n">
        <v>46215</v>
      </c>
      <c r="C89" s="36" t="n">
        <v>46219</v>
      </c>
      <c r="D89" s="35" t="s">
        <v>52</v>
      </c>
      <c r="E89" s="35" t="s">
        <v>33</v>
      </c>
      <c r="F89" s="35" t="s">
        <v>15</v>
      </c>
      <c r="G89" s="35"/>
      <c r="H89" s="37" t="n">
        <f aca="false">IFERROR(VLOOKUP(D89,Settings!$A$5:$C$14,3,FALSE()),"")</f>
        <v>4</v>
      </c>
      <c r="I89" s="37" t="n">
        <f aca="false">IF(C89="","",C89-B89)</f>
        <v>4</v>
      </c>
      <c r="J89" s="38" t="str">
        <f aca="false">IF(I89="","",IF(I89&gt;H89,"Delayed","On Time"))</f>
        <v>On Time</v>
      </c>
      <c r="K89" s="37" t="str">
        <f aca="false">IF(J89="Delayed",I89-H89,"")</f>
        <v/>
      </c>
    </row>
    <row r="90" customFormat="false" ht="15" hidden="false" customHeight="false" outlineLevel="0" collapsed="false">
      <c r="A90" s="35" t="s">
        <v>154</v>
      </c>
      <c r="B90" s="36" t="n">
        <v>46215</v>
      </c>
      <c r="C90" s="36" t="n">
        <v>46220</v>
      </c>
      <c r="D90" s="35" t="s">
        <v>46</v>
      </c>
      <c r="E90" s="35" t="s">
        <v>33</v>
      </c>
      <c r="F90" s="35" t="s">
        <v>15</v>
      </c>
      <c r="G90" s="35"/>
      <c r="H90" s="37" t="n">
        <f aca="false">IFERROR(VLOOKUP(D90,Settings!$A$5:$C$14,3,FALSE()),"")</f>
        <v>3</v>
      </c>
      <c r="I90" s="37" t="n">
        <f aca="false">IF(C90="","",C90-B90)</f>
        <v>5</v>
      </c>
      <c r="J90" s="38" t="str">
        <f aca="false">IF(I90="","",IF(I90&gt;H90,"Delayed","On Time"))</f>
        <v>Delayed</v>
      </c>
      <c r="K90" s="37" t="n">
        <f aca="false">IF(J90="Delayed",I90-H90,"")</f>
        <v>2</v>
      </c>
    </row>
    <row r="91" customFormat="false" ht="15" hidden="false" customHeight="false" outlineLevel="0" collapsed="false">
      <c r="A91" s="35" t="s">
        <v>155</v>
      </c>
      <c r="B91" s="36" t="n">
        <v>46215</v>
      </c>
      <c r="C91" s="36" t="n">
        <v>46220</v>
      </c>
      <c r="D91" s="35" t="s">
        <v>46</v>
      </c>
      <c r="E91" s="35" t="s">
        <v>35</v>
      </c>
      <c r="F91" s="35" t="s">
        <v>15</v>
      </c>
      <c r="G91" s="35"/>
      <c r="H91" s="37" t="n">
        <f aca="false">IFERROR(VLOOKUP(D91,Settings!$A$5:$C$14,3,FALSE()),"")</f>
        <v>3</v>
      </c>
      <c r="I91" s="37" t="n">
        <f aca="false">IF(C91="","",C91-B91)</f>
        <v>5</v>
      </c>
      <c r="J91" s="38" t="str">
        <f aca="false">IF(I91="","",IF(I91&gt;H91,"Delayed","On Time"))</f>
        <v>Delayed</v>
      </c>
      <c r="K91" s="37" t="n">
        <f aca="false">IF(J91="Delayed",I91-H91,"")</f>
        <v>2</v>
      </c>
    </row>
    <row r="92" customFormat="false" ht="15" hidden="false" customHeight="false" outlineLevel="0" collapsed="false">
      <c r="A92" s="35" t="s">
        <v>156</v>
      </c>
      <c r="B92" s="36" t="n">
        <v>46215</v>
      </c>
      <c r="C92" s="36" t="n">
        <v>46220</v>
      </c>
      <c r="D92" s="35" t="s">
        <v>48</v>
      </c>
      <c r="E92" s="35" t="s">
        <v>35</v>
      </c>
      <c r="F92" s="35" t="s">
        <v>15</v>
      </c>
      <c r="G92" s="35"/>
      <c r="H92" s="37" t="n">
        <f aca="false">IFERROR(VLOOKUP(D92,Settings!$A$5:$C$14,3,FALSE()),"")</f>
        <v>3</v>
      </c>
      <c r="I92" s="37" t="n">
        <f aca="false">IF(C92="","",C92-B92)</f>
        <v>5</v>
      </c>
      <c r="J92" s="38" t="str">
        <f aca="false">IF(I92="","",IF(I92&gt;H92,"Delayed","On Time"))</f>
        <v>Delayed</v>
      </c>
      <c r="K92" s="37" t="n">
        <f aca="false">IF(J92="Delayed",I92-H92,"")</f>
        <v>2</v>
      </c>
    </row>
    <row r="93" customFormat="false" ht="15" hidden="false" customHeight="false" outlineLevel="0" collapsed="false">
      <c r="A93" s="35" t="s">
        <v>157</v>
      </c>
      <c r="B93" s="36" t="n">
        <v>46215</v>
      </c>
      <c r="C93" s="36" t="n">
        <v>46217</v>
      </c>
      <c r="D93" s="35" t="s">
        <v>50</v>
      </c>
      <c r="E93" s="35" t="s">
        <v>35</v>
      </c>
      <c r="F93" s="35" t="s">
        <v>15</v>
      </c>
      <c r="G93" s="35"/>
      <c r="H93" s="37" t="n">
        <f aca="false">IFERROR(VLOOKUP(D93,Settings!$A$5:$C$14,3,FALSE()),"")</f>
        <v>3</v>
      </c>
      <c r="I93" s="37" t="n">
        <f aca="false">IF(C93="","",C93-B93)</f>
        <v>2</v>
      </c>
      <c r="J93" s="38" t="str">
        <f aca="false">IF(I93="","",IF(I93&gt;H93,"Delayed","On Time"))</f>
        <v>On Time</v>
      </c>
      <c r="K93" s="37" t="str">
        <f aca="false">IF(J93="Delayed",I93-H93,"")</f>
        <v/>
      </c>
    </row>
    <row r="94" customFormat="false" ht="15" hidden="false" customHeight="false" outlineLevel="0" collapsed="false">
      <c r="A94" s="35" t="s">
        <v>158</v>
      </c>
      <c r="B94" s="36" t="n">
        <v>46215</v>
      </c>
      <c r="C94" s="36" t="n">
        <v>46219</v>
      </c>
      <c r="D94" s="35" t="s">
        <v>50</v>
      </c>
      <c r="E94" s="35" t="s">
        <v>34</v>
      </c>
      <c r="F94" s="35" t="s">
        <v>15</v>
      </c>
      <c r="G94" s="35"/>
      <c r="H94" s="37" t="n">
        <f aca="false">IFERROR(VLOOKUP(D94,Settings!$A$5:$C$14,3,FALSE()),"")</f>
        <v>3</v>
      </c>
      <c r="I94" s="37" t="n">
        <f aca="false">IF(C94="","",C94-B94)</f>
        <v>4</v>
      </c>
      <c r="J94" s="38" t="str">
        <f aca="false">IF(I94="","",IF(I94&gt;H94,"Delayed","On Time"))</f>
        <v>Delayed</v>
      </c>
      <c r="K94" s="37" t="n">
        <f aca="false">IF(J94="Delayed",I94-H94,"")</f>
        <v>1</v>
      </c>
    </row>
    <row r="95" customFormat="false" ht="15" hidden="false" customHeight="false" outlineLevel="0" collapsed="false">
      <c r="A95" s="35" t="s">
        <v>159</v>
      </c>
      <c r="B95" s="36" t="n">
        <v>46215</v>
      </c>
      <c r="C95" s="36" t="n">
        <v>46217</v>
      </c>
      <c r="D95" s="35" t="s">
        <v>46</v>
      </c>
      <c r="E95" s="35" t="s">
        <v>34</v>
      </c>
      <c r="F95" s="35" t="s">
        <v>15</v>
      </c>
      <c r="G95" s="35"/>
      <c r="H95" s="37" t="n">
        <f aca="false">IFERROR(VLOOKUP(D95,Settings!$A$5:$C$14,3,FALSE()),"")</f>
        <v>3</v>
      </c>
      <c r="I95" s="37" t="n">
        <f aca="false">IF(C95="","",C95-B95)</f>
        <v>2</v>
      </c>
      <c r="J95" s="38" t="str">
        <f aca="false">IF(I95="","",IF(I95&gt;H95,"Delayed","On Time"))</f>
        <v>On Time</v>
      </c>
      <c r="K95" s="37" t="str">
        <f aca="false">IF(J95="Delayed",I95-H95,"")</f>
        <v/>
      </c>
    </row>
    <row r="96" customFormat="false" ht="15" hidden="false" customHeight="false" outlineLevel="0" collapsed="false">
      <c r="A96" s="35" t="s">
        <v>160</v>
      </c>
      <c r="B96" s="36" t="n">
        <v>46215</v>
      </c>
      <c r="C96" s="36" t="n">
        <v>46219</v>
      </c>
      <c r="D96" s="35" t="s">
        <v>50</v>
      </c>
      <c r="E96" s="35" t="s">
        <v>34</v>
      </c>
      <c r="F96" s="35" t="s">
        <v>17</v>
      </c>
      <c r="G96" s="35" t="s">
        <v>51</v>
      </c>
      <c r="H96" s="37" t="n">
        <f aca="false">IFERROR(VLOOKUP(D96,Settings!$A$5:$C$14,3,FALSE()),"")</f>
        <v>3</v>
      </c>
      <c r="I96" s="37" t="n">
        <f aca="false">IF(C96="","",C96-B96)</f>
        <v>4</v>
      </c>
      <c r="J96" s="38" t="str">
        <f aca="false">IF(I96="","",IF(I96&gt;H96,"Delayed","On Time"))</f>
        <v>Delayed</v>
      </c>
      <c r="K96" s="37" t="n">
        <f aca="false">IF(J96="Delayed",I96-H96,"")</f>
        <v>1</v>
      </c>
    </row>
    <row r="97" customFormat="false" ht="15" hidden="false" customHeight="false" outlineLevel="0" collapsed="false">
      <c r="A97" s="35" t="s">
        <v>161</v>
      </c>
      <c r="B97" s="36" t="n">
        <v>46215</v>
      </c>
      <c r="C97" s="36" t="n">
        <v>46218</v>
      </c>
      <c r="D97" s="35" t="s">
        <v>46</v>
      </c>
      <c r="E97" s="35" t="s">
        <v>35</v>
      </c>
      <c r="F97" s="35" t="s">
        <v>15</v>
      </c>
      <c r="G97" s="35"/>
      <c r="H97" s="37" t="n">
        <f aca="false">IFERROR(VLOOKUP(D97,Settings!$A$5:$C$14,3,FALSE()),"")</f>
        <v>3</v>
      </c>
      <c r="I97" s="37" t="n">
        <f aca="false">IF(C97="","",C97-B97)</f>
        <v>3</v>
      </c>
      <c r="J97" s="38" t="str">
        <f aca="false">IF(I97="","",IF(I97&gt;H97,"Delayed","On Time"))</f>
        <v>On Time</v>
      </c>
      <c r="K97" s="37" t="str">
        <f aca="false">IF(J97="Delayed",I97-H97,"")</f>
        <v/>
      </c>
    </row>
    <row r="98" customFormat="false" ht="15" hidden="false" customHeight="false" outlineLevel="0" collapsed="false">
      <c r="A98" s="35" t="s">
        <v>162</v>
      </c>
      <c r="B98" s="36" t="n">
        <v>46215</v>
      </c>
      <c r="C98" s="36" t="n">
        <v>46220</v>
      </c>
      <c r="D98" s="35" t="s">
        <v>44</v>
      </c>
      <c r="E98" s="35" t="s">
        <v>36</v>
      </c>
      <c r="F98" s="35" t="s">
        <v>17</v>
      </c>
      <c r="G98" s="35" t="s">
        <v>51</v>
      </c>
      <c r="H98" s="37" t="n">
        <f aca="false">IFERROR(VLOOKUP(D98,Settings!$A$5:$C$14,3,FALSE()),"")</f>
        <v>3</v>
      </c>
      <c r="I98" s="37" t="n">
        <f aca="false">IF(C98="","",C98-B98)</f>
        <v>5</v>
      </c>
      <c r="J98" s="38" t="str">
        <f aca="false">IF(I98="","",IF(I98&gt;H98,"Delayed","On Time"))</f>
        <v>Delayed</v>
      </c>
      <c r="K98" s="37" t="n">
        <f aca="false">IF(J98="Delayed",I98-H98,"")</f>
        <v>2</v>
      </c>
    </row>
    <row r="99" customFormat="false" ht="15" hidden="false" customHeight="false" outlineLevel="0" collapsed="false">
      <c r="A99" s="35" t="s">
        <v>163</v>
      </c>
      <c r="B99" s="36" t="n">
        <v>46215</v>
      </c>
      <c r="C99" s="36" t="n">
        <v>46218</v>
      </c>
      <c r="D99" s="35" t="s">
        <v>46</v>
      </c>
      <c r="E99" s="35" t="s">
        <v>35</v>
      </c>
      <c r="F99" s="35" t="s">
        <v>17</v>
      </c>
      <c r="G99" s="35" t="s">
        <v>43</v>
      </c>
      <c r="H99" s="37" t="n">
        <f aca="false">IFERROR(VLOOKUP(D99,Settings!$A$5:$C$14,3,FALSE()),"")</f>
        <v>3</v>
      </c>
      <c r="I99" s="37" t="n">
        <f aca="false">IF(C99="","",C99-B99)</f>
        <v>3</v>
      </c>
      <c r="J99" s="38" t="str">
        <f aca="false">IF(I99="","",IF(I99&gt;H99,"Delayed","On Time"))</f>
        <v>On Time</v>
      </c>
      <c r="K99" s="37" t="str">
        <f aca="false">IF(J99="Delayed",I99-H99,"")</f>
        <v/>
      </c>
    </row>
    <row r="100" customFormat="false" ht="15" hidden="false" customHeight="false" outlineLevel="0" collapsed="false">
      <c r="A100" s="35" t="s">
        <v>164</v>
      </c>
      <c r="B100" s="36" t="n">
        <v>46215</v>
      </c>
      <c r="C100" s="36" t="n">
        <v>46218</v>
      </c>
      <c r="D100" s="35" t="s">
        <v>52</v>
      </c>
      <c r="E100" s="35" t="s">
        <v>33</v>
      </c>
      <c r="F100" s="35" t="s">
        <v>15</v>
      </c>
      <c r="G100" s="35"/>
      <c r="H100" s="37" t="n">
        <f aca="false">IFERROR(VLOOKUP(D100,Settings!$A$5:$C$14,3,FALSE()),"")</f>
        <v>4</v>
      </c>
      <c r="I100" s="37" t="n">
        <f aca="false">IF(C100="","",C100-B100)</f>
        <v>3</v>
      </c>
      <c r="J100" s="38" t="str">
        <f aca="false">IF(I100="","",IF(I100&gt;H100,"Delayed","On Time"))</f>
        <v>On Time</v>
      </c>
      <c r="K100" s="37" t="str">
        <f aca="false">IF(J100="Delayed",I100-H100,"")</f>
        <v/>
      </c>
    </row>
    <row r="101" customFormat="false" ht="15" hidden="false" customHeight="false" outlineLevel="0" collapsed="false">
      <c r="A101" s="35" t="s">
        <v>165</v>
      </c>
      <c r="B101" s="36" t="n">
        <v>46215</v>
      </c>
      <c r="C101" s="36"/>
      <c r="D101" s="35" t="s">
        <v>46</v>
      </c>
      <c r="E101" s="35" t="s">
        <v>36</v>
      </c>
      <c r="F101" s="35" t="s">
        <v>18</v>
      </c>
      <c r="G101" s="35" t="s">
        <v>47</v>
      </c>
      <c r="H101" s="37" t="n">
        <f aca="false">IFERROR(VLOOKUP(D101,Settings!$A$5:$C$14,3,FALSE()),"")</f>
        <v>3</v>
      </c>
      <c r="I101" s="37" t="str">
        <f aca="false">IF(C101="","",C101-B101)</f>
        <v/>
      </c>
      <c r="J101" s="38" t="str">
        <f aca="false">IF(I101="","",IF(I101&gt;H101,"Delayed","On Time"))</f>
        <v/>
      </c>
      <c r="K101" s="37" t="str">
        <f aca="false">IF(J101="Delayed",I101-H101,"")</f>
        <v/>
      </c>
    </row>
    <row r="102" customFormat="false" ht="15" hidden="false" customHeight="false" outlineLevel="0" collapsed="false">
      <c r="A102" s="35" t="s">
        <v>166</v>
      </c>
      <c r="B102" s="36" t="n">
        <v>46215</v>
      </c>
      <c r="C102" s="36" t="n">
        <v>46219</v>
      </c>
      <c r="D102" s="35" t="s">
        <v>44</v>
      </c>
      <c r="E102" s="35" t="s">
        <v>35</v>
      </c>
      <c r="F102" s="35" t="s">
        <v>15</v>
      </c>
      <c r="G102" s="35"/>
      <c r="H102" s="37" t="n">
        <f aca="false">IFERROR(VLOOKUP(D102,Settings!$A$5:$C$14,3,FALSE()),"")</f>
        <v>3</v>
      </c>
      <c r="I102" s="37" t="n">
        <f aca="false">IF(C102="","",C102-B102)</f>
        <v>4</v>
      </c>
      <c r="J102" s="38" t="str">
        <f aca="false">IF(I102="","",IF(I102&gt;H102,"Delayed","On Time"))</f>
        <v>Delayed</v>
      </c>
      <c r="K102" s="37" t="n">
        <f aca="false">IF(J102="Delayed",I102-H102,"")</f>
        <v>1</v>
      </c>
    </row>
    <row r="103" customFormat="false" ht="15" hidden="false" customHeight="false" outlineLevel="0" collapsed="false">
      <c r="A103" s="35" t="s">
        <v>167</v>
      </c>
      <c r="B103" s="36" t="n">
        <v>46216</v>
      </c>
      <c r="C103" s="36" t="n">
        <v>46219</v>
      </c>
      <c r="D103" s="35" t="s">
        <v>46</v>
      </c>
      <c r="E103" s="35" t="s">
        <v>33</v>
      </c>
      <c r="F103" s="35" t="s">
        <v>15</v>
      </c>
      <c r="G103" s="35"/>
      <c r="H103" s="37" t="n">
        <f aca="false">IFERROR(VLOOKUP(D103,Settings!$A$5:$C$14,3,FALSE()),"")</f>
        <v>3</v>
      </c>
      <c r="I103" s="37" t="n">
        <f aca="false">IF(C103="","",C103-B103)</f>
        <v>3</v>
      </c>
      <c r="J103" s="38" t="str">
        <f aca="false">IF(I103="","",IF(I103&gt;H103,"Delayed","On Time"))</f>
        <v>On Time</v>
      </c>
      <c r="K103" s="37" t="str">
        <f aca="false">IF(J103="Delayed",I103-H103,"")</f>
        <v/>
      </c>
    </row>
    <row r="104" customFormat="false" ht="15" hidden="false" customHeight="false" outlineLevel="0" collapsed="false">
      <c r="A104" s="35" t="s">
        <v>168</v>
      </c>
      <c r="B104" s="36" t="n">
        <v>46216</v>
      </c>
      <c r="C104" s="36" t="n">
        <v>46224</v>
      </c>
      <c r="D104" s="35" t="s">
        <v>57</v>
      </c>
      <c r="E104" s="35" t="s">
        <v>36</v>
      </c>
      <c r="F104" s="35" t="s">
        <v>15</v>
      </c>
      <c r="G104" s="35"/>
      <c r="H104" s="37" t="n">
        <f aca="false">IFERROR(VLOOKUP(D104,Settings!$A$5:$C$14,3,FALSE()),"")</f>
        <v>7</v>
      </c>
      <c r="I104" s="37" t="n">
        <f aca="false">IF(C104="","",C104-B104)</f>
        <v>8</v>
      </c>
      <c r="J104" s="38" t="str">
        <f aca="false">IF(I104="","",IF(I104&gt;H104,"Delayed","On Time"))</f>
        <v>Delayed</v>
      </c>
      <c r="K104" s="37" t="n">
        <f aca="false">IF(J104="Delayed",I104-H104,"")</f>
        <v>1</v>
      </c>
    </row>
    <row r="105" customFormat="false" ht="15" hidden="false" customHeight="false" outlineLevel="0" collapsed="false">
      <c r="A105" s="35" t="s">
        <v>169</v>
      </c>
      <c r="B105" s="36" t="n">
        <v>46216</v>
      </c>
      <c r="C105" s="36" t="n">
        <v>46219</v>
      </c>
      <c r="D105" s="35" t="s">
        <v>50</v>
      </c>
      <c r="E105" s="35" t="s">
        <v>35</v>
      </c>
      <c r="F105" s="35" t="s">
        <v>15</v>
      </c>
      <c r="G105" s="35"/>
      <c r="H105" s="37" t="n">
        <f aca="false">IFERROR(VLOOKUP(D105,Settings!$A$5:$C$14,3,FALSE()),"")</f>
        <v>3</v>
      </c>
      <c r="I105" s="37" t="n">
        <f aca="false">IF(C105="","",C105-B105)</f>
        <v>3</v>
      </c>
      <c r="J105" s="38" t="str">
        <f aca="false">IF(I105="","",IF(I105&gt;H105,"Delayed","On Time"))</f>
        <v>On Time</v>
      </c>
      <c r="K105" s="37" t="str">
        <f aca="false">IF(J105="Delayed",I105-H105,"")</f>
        <v/>
      </c>
    </row>
    <row r="106" customFormat="false" ht="15" hidden="false" customHeight="false" outlineLevel="0" collapsed="false">
      <c r="A106" s="35" t="s">
        <v>170</v>
      </c>
      <c r="B106" s="36" t="n">
        <v>46217</v>
      </c>
      <c r="C106" s="36" t="n">
        <v>46220</v>
      </c>
      <c r="D106" s="35" t="s">
        <v>46</v>
      </c>
      <c r="E106" s="35" t="s">
        <v>34</v>
      </c>
      <c r="F106" s="35" t="s">
        <v>15</v>
      </c>
      <c r="G106" s="35"/>
      <c r="H106" s="37" t="n">
        <f aca="false">IFERROR(VLOOKUP(D106,Settings!$A$5:$C$14,3,FALSE()),"")</f>
        <v>3</v>
      </c>
      <c r="I106" s="37" t="n">
        <f aca="false">IF(C106="","",C106-B106)</f>
        <v>3</v>
      </c>
      <c r="J106" s="38" t="str">
        <f aca="false">IF(I106="","",IF(I106&gt;H106,"Delayed","On Time"))</f>
        <v>On Time</v>
      </c>
      <c r="K106" s="37" t="str">
        <f aca="false">IF(J106="Delayed",I106-H106,"")</f>
        <v/>
      </c>
    </row>
    <row r="107" customFormat="false" ht="15" hidden="false" customHeight="false" outlineLevel="0" collapsed="false">
      <c r="A107" s="35" t="s">
        <v>171</v>
      </c>
      <c r="B107" s="36" t="n">
        <v>46217</v>
      </c>
      <c r="C107" s="36" t="n">
        <v>46220</v>
      </c>
      <c r="D107" s="35" t="s">
        <v>44</v>
      </c>
      <c r="E107" s="35" t="s">
        <v>34</v>
      </c>
      <c r="F107" s="35" t="s">
        <v>15</v>
      </c>
      <c r="G107" s="35"/>
      <c r="H107" s="37" t="n">
        <f aca="false">IFERROR(VLOOKUP(D107,Settings!$A$5:$C$14,3,FALSE()),"")</f>
        <v>3</v>
      </c>
      <c r="I107" s="37" t="n">
        <f aca="false">IF(C107="","",C107-B107)</f>
        <v>3</v>
      </c>
      <c r="J107" s="38" t="str">
        <f aca="false">IF(I107="","",IF(I107&gt;H107,"Delayed","On Time"))</f>
        <v>On Time</v>
      </c>
      <c r="K107" s="37" t="str">
        <f aca="false">IF(J107="Delayed",I107-H107,"")</f>
        <v/>
      </c>
    </row>
    <row r="108" customFormat="false" ht="15" hidden="false" customHeight="false" outlineLevel="0" collapsed="false">
      <c r="A108" s="35" t="s">
        <v>172</v>
      </c>
      <c r="B108" s="36" t="n">
        <v>46217</v>
      </c>
      <c r="C108" s="36" t="n">
        <v>46221</v>
      </c>
      <c r="D108" s="35" t="s">
        <v>55</v>
      </c>
      <c r="E108" s="35" t="s">
        <v>36</v>
      </c>
      <c r="F108" s="35" t="s">
        <v>15</v>
      </c>
      <c r="G108" s="35"/>
      <c r="H108" s="37" t="n">
        <f aca="false">IFERROR(VLOOKUP(D108,Settings!$A$5:$C$14,3,FALSE()),"")</f>
        <v>5</v>
      </c>
      <c r="I108" s="37" t="n">
        <f aca="false">IF(C108="","",C108-B108)</f>
        <v>4</v>
      </c>
      <c r="J108" s="38" t="str">
        <f aca="false">IF(I108="","",IF(I108&gt;H108,"Delayed","On Time"))</f>
        <v>On Time</v>
      </c>
      <c r="K108" s="37" t="str">
        <f aca="false">IF(J108="Delayed",I108-H108,"")</f>
        <v/>
      </c>
    </row>
    <row r="109" customFormat="false" ht="15" hidden="false" customHeight="false" outlineLevel="0" collapsed="false">
      <c r="A109" s="35" t="s">
        <v>173</v>
      </c>
      <c r="B109" s="36" t="n">
        <v>46217</v>
      </c>
      <c r="C109" s="36" t="n">
        <v>46221</v>
      </c>
      <c r="D109" s="35" t="s">
        <v>44</v>
      </c>
      <c r="E109" s="35" t="s">
        <v>34</v>
      </c>
      <c r="F109" s="35" t="s">
        <v>15</v>
      </c>
      <c r="G109" s="35"/>
      <c r="H109" s="37" t="n">
        <f aca="false">IFERROR(VLOOKUP(D109,Settings!$A$5:$C$14,3,FALSE()),"")</f>
        <v>3</v>
      </c>
      <c r="I109" s="37" t="n">
        <f aca="false">IF(C109="","",C109-B109)</f>
        <v>4</v>
      </c>
      <c r="J109" s="38" t="str">
        <f aca="false">IF(I109="","",IF(I109&gt;H109,"Delayed","On Time"))</f>
        <v>Delayed</v>
      </c>
      <c r="K109" s="37" t="n">
        <f aca="false">IF(J109="Delayed",I109-H109,"")</f>
        <v>1</v>
      </c>
    </row>
    <row r="110" customFormat="false" ht="15" hidden="false" customHeight="false" outlineLevel="0" collapsed="false">
      <c r="A110" s="35" t="s">
        <v>174</v>
      </c>
      <c r="B110" s="36" t="n">
        <v>46217</v>
      </c>
      <c r="C110" s="36" t="n">
        <v>46220</v>
      </c>
      <c r="D110" s="35" t="s">
        <v>44</v>
      </c>
      <c r="E110" s="35" t="s">
        <v>34</v>
      </c>
      <c r="F110" s="35" t="s">
        <v>15</v>
      </c>
      <c r="G110" s="35"/>
      <c r="H110" s="37" t="n">
        <f aca="false">IFERROR(VLOOKUP(D110,Settings!$A$5:$C$14,3,FALSE()),"")</f>
        <v>3</v>
      </c>
      <c r="I110" s="37" t="n">
        <f aca="false">IF(C110="","",C110-B110)</f>
        <v>3</v>
      </c>
      <c r="J110" s="38" t="str">
        <f aca="false">IF(I110="","",IF(I110&gt;H110,"Delayed","On Time"))</f>
        <v>On Time</v>
      </c>
      <c r="K110" s="37" t="str">
        <f aca="false">IF(J110="Delayed",I110-H110,"")</f>
        <v/>
      </c>
    </row>
    <row r="111" customFormat="false" ht="15" hidden="false" customHeight="false" outlineLevel="0" collapsed="false">
      <c r="A111" s="35" t="s">
        <v>175</v>
      </c>
      <c r="B111" s="36" t="n">
        <v>46217</v>
      </c>
      <c r="C111" s="36" t="n">
        <v>46223</v>
      </c>
      <c r="D111" s="35" t="s">
        <v>53</v>
      </c>
      <c r="E111" s="35" t="s">
        <v>36</v>
      </c>
      <c r="F111" s="35" t="s">
        <v>15</v>
      </c>
      <c r="G111" s="35"/>
      <c r="H111" s="37" t="n">
        <f aca="false">IFERROR(VLOOKUP(D111,Settings!$A$5:$C$14,3,FALSE()),"")</f>
        <v>5</v>
      </c>
      <c r="I111" s="37" t="n">
        <f aca="false">IF(C111="","",C111-B111)</f>
        <v>6</v>
      </c>
      <c r="J111" s="38" t="str">
        <f aca="false">IF(I111="","",IF(I111&gt;H111,"Delayed","On Time"))</f>
        <v>Delayed</v>
      </c>
      <c r="K111" s="37" t="n">
        <f aca="false">IF(J111="Delayed",I111-H111,"")</f>
        <v>1</v>
      </c>
    </row>
    <row r="112" customFormat="false" ht="15" hidden="false" customHeight="false" outlineLevel="0" collapsed="false">
      <c r="A112" s="35" t="s">
        <v>176</v>
      </c>
      <c r="B112" s="36" t="n">
        <v>46217</v>
      </c>
      <c r="C112" s="36" t="n">
        <v>46221</v>
      </c>
      <c r="D112" s="35" t="s">
        <v>48</v>
      </c>
      <c r="E112" s="35" t="s">
        <v>33</v>
      </c>
      <c r="F112" s="35" t="s">
        <v>15</v>
      </c>
      <c r="G112" s="35"/>
      <c r="H112" s="37" t="n">
        <f aca="false">IFERROR(VLOOKUP(D112,Settings!$A$5:$C$14,3,FALSE()),"")</f>
        <v>3</v>
      </c>
      <c r="I112" s="37" t="n">
        <f aca="false">IF(C112="","",C112-B112)</f>
        <v>4</v>
      </c>
      <c r="J112" s="38" t="str">
        <f aca="false">IF(I112="","",IF(I112&gt;H112,"Delayed","On Time"))</f>
        <v>Delayed</v>
      </c>
      <c r="K112" s="37" t="n">
        <f aca="false">IF(J112="Delayed",I112-H112,"")</f>
        <v>1</v>
      </c>
    </row>
    <row r="113" customFormat="false" ht="15" hidden="false" customHeight="false" outlineLevel="0" collapsed="false">
      <c r="A113" s="35" t="s">
        <v>177</v>
      </c>
      <c r="B113" s="36" t="n">
        <v>46218</v>
      </c>
      <c r="C113" s="36" t="n">
        <v>46219</v>
      </c>
      <c r="D113" s="35" t="s">
        <v>46</v>
      </c>
      <c r="E113" s="35" t="s">
        <v>33</v>
      </c>
      <c r="F113" s="35" t="s">
        <v>15</v>
      </c>
      <c r="G113" s="35"/>
      <c r="H113" s="37" t="n">
        <f aca="false">IFERROR(VLOOKUP(D113,Settings!$A$5:$C$14,3,FALSE()),"")</f>
        <v>3</v>
      </c>
      <c r="I113" s="37" t="n">
        <f aca="false">IF(C113="","",C113-B113)</f>
        <v>1</v>
      </c>
      <c r="J113" s="38" t="str">
        <f aca="false">IF(I113="","",IF(I113&gt;H113,"Delayed","On Time"))</f>
        <v>On Time</v>
      </c>
      <c r="K113" s="37" t="str">
        <f aca="false">IF(J113="Delayed",I113-H113,"")</f>
        <v/>
      </c>
    </row>
    <row r="114" customFormat="false" ht="15" hidden="false" customHeight="false" outlineLevel="0" collapsed="false">
      <c r="A114" s="35" t="s">
        <v>178</v>
      </c>
      <c r="B114" s="36" t="n">
        <v>46218</v>
      </c>
      <c r="C114" s="36" t="n">
        <v>46228</v>
      </c>
      <c r="D114" s="35" t="s">
        <v>57</v>
      </c>
      <c r="E114" s="35" t="s">
        <v>34</v>
      </c>
      <c r="F114" s="35" t="s">
        <v>15</v>
      </c>
      <c r="G114" s="35"/>
      <c r="H114" s="37" t="n">
        <f aca="false">IFERROR(VLOOKUP(D114,Settings!$A$5:$C$14,3,FALSE()),"")</f>
        <v>7</v>
      </c>
      <c r="I114" s="37" t="n">
        <f aca="false">IF(C114="","",C114-B114)</f>
        <v>10</v>
      </c>
      <c r="J114" s="38" t="str">
        <f aca="false">IF(I114="","",IF(I114&gt;H114,"Delayed","On Time"))</f>
        <v>Delayed</v>
      </c>
      <c r="K114" s="37" t="n">
        <f aca="false">IF(J114="Delayed",I114-H114,"")</f>
        <v>3</v>
      </c>
    </row>
    <row r="115" customFormat="false" ht="15" hidden="false" customHeight="false" outlineLevel="0" collapsed="false">
      <c r="A115" s="35" t="s">
        <v>179</v>
      </c>
      <c r="B115" s="36" t="n">
        <v>46218</v>
      </c>
      <c r="C115" s="36" t="n">
        <v>46222</v>
      </c>
      <c r="D115" s="35" t="s">
        <v>50</v>
      </c>
      <c r="E115" s="35" t="s">
        <v>34</v>
      </c>
      <c r="F115" s="35" t="s">
        <v>15</v>
      </c>
      <c r="G115" s="35"/>
      <c r="H115" s="37" t="n">
        <f aca="false">IFERROR(VLOOKUP(D115,Settings!$A$5:$C$14,3,FALSE()),"")</f>
        <v>3</v>
      </c>
      <c r="I115" s="37" t="n">
        <f aca="false">IF(C115="","",C115-B115)</f>
        <v>4</v>
      </c>
      <c r="J115" s="38" t="str">
        <f aca="false">IF(I115="","",IF(I115&gt;H115,"Delayed","On Time"))</f>
        <v>Delayed</v>
      </c>
      <c r="K115" s="37" t="n">
        <f aca="false">IF(J115="Delayed",I115-H115,"")</f>
        <v>1</v>
      </c>
    </row>
    <row r="116" customFormat="false" ht="15" hidden="false" customHeight="false" outlineLevel="0" collapsed="false">
      <c r="A116" s="35" t="s">
        <v>180</v>
      </c>
      <c r="B116" s="36" t="n">
        <v>46218</v>
      </c>
      <c r="C116" s="36" t="n">
        <v>46221</v>
      </c>
      <c r="D116" s="35" t="s">
        <v>44</v>
      </c>
      <c r="E116" s="35" t="s">
        <v>36</v>
      </c>
      <c r="F116" s="35" t="s">
        <v>15</v>
      </c>
      <c r="G116" s="35"/>
      <c r="H116" s="37" t="n">
        <f aca="false">IFERROR(VLOOKUP(D116,Settings!$A$5:$C$14,3,FALSE()),"")</f>
        <v>3</v>
      </c>
      <c r="I116" s="37" t="n">
        <f aca="false">IF(C116="","",C116-B116)</f>
        <v>3</v>
      </c>
      <c r="J116" s="38" t="str">
        <f aca="false">IF(I116="","",IF(I116&gt;H116,"Delayed","On Time"))</f>
        <v>On Time</v>
      </c>
      <c r="K116" s="37" t="str">
        <f aca="false">IF(J116="Delayed",I116-H116,"")</f>
        <v/>
      </c>
    </row>
    <row r="117" customFormat="false" ht="15" hidden="false" customHeight="false" outlineLevel="0" collapsed="false">
      <c r="A117" s="35" t="s">
        <v>181</v>
      </c>
      <c r="B117" s="36" t="n">
        <v>46218</v>
      </c>
      <c r="C117" s="36" t="n">
        <v>46221</v>
      </c>
      <c r="D117" s="35" t="s">
        <v>44</v>
      </c>
      <c r="E117" s="35" t="s">
        <v>36</v>
      </c>
      <c r="F117" s="35" t="s">
        <v>15</v>
      </c>
      <c r="G117" s="35"/>
      <c r="H117" s="37" t="n">
        <f aca="false">IFERROR(VLOOKUP(D117,Settings!$A$5:$C$14,3,FALSE()),"")</f>
        <v>3</v>
      </c>
      <c r="I117" s="37" t="n">
        <f aca="false">IF(C117="","",C117-B117)</f>
        <v>3</v>
      </c>
      <c r="J117" s="38" t="str">
        <f aca="false">IF(I117="","",IF(I117&gt;H117,"Delayed","On Time"))</f>
        <v>On Time</v>
      </c>
      <c r="K117" s="37" t="str">
        <f aca="false">IF(J117="Delayed",I117-H117,"")</f>
        <v/>
      </c>
    </row>
    <row r="118" customFormat="false" ht="15" hidden="false" customHeight="false" outlineLevel="0" collapsed="false">
      <c r="A118" s="35" t="s">
        <v>182</v>
      </c>
      <c r="B118" s="36" t="n">
        <v>46218</v>
      </c>
      <c r="C118" s="36"/>
      <c r="D118" s="35" t="s">
        <v>55</v>
      </c>
      <c r="E118" s="35" t="s">
        <v>34</v>
      </c>
      <c r="F118" s="35" t="s">
        <v>18</v>
      </c>
      <c r="G118" s="35" t="s">
        <v>47</v>
      </c>
      <c r="H118" s="37" t="n">
        <f aca="false">IFERROR(VLOOKUP(D118,Settings!$A$5:$C$14,3,FALSE()),"")</f>
        <v>5</v>
      </c>
      <c r="I118" s="37" t="str">
        <f aca="false">IF(C118="","",C118-B118)</f>
        <v/>
      </c>
      <c r="J118" s="38" t="str">
        <f aca="false">IF(I118="","",IF(I118&gt;H118,"Delayed","On Time"))</f>
        <v/>
      </c>
      <c r="K118" s="37" t="str">
        <f aca="false">IF(J118="Delayed",I118-H118,"")</f>
        <v/>
      </c>
    </row>
    <row r="119" customFormat="false" ht="15" hidden="false" customHeight="false" outlineLevel="0" collapsed="false">
      <c r="A119" s="35" t="s">
        <v>183</v>
      </c>
      <c r="B119" s="36" t="n">
        <v>46218</v>
      </c>
      <c r="C119" s="36" t="n">
        <v>46222</v>
      </c>
      <c r="D119" s="35" t="s">
        <v>46</v>
      </c>
      <c r="E119" s="35" t="s">
        <v>35</v>
      </c>
      <c r="F119" s="35" t="s">
        <v>15</v>
      </c>
      <c r="G119" s="35"/>
      <c r="H119" s="37" t="n">
        <f aca="false">IFERROR(VLOOKUP(D119,Settings!$A$5:$C$14,3,FALSE()),"")</f>
        <v>3</v>
      </c>
      <c r="I119" s="37" t="n">
        <f aca="false">IF(C119="","",C119-B119)</f>
        <v>4</v>
      </c>
      <c r="J119" s="38" t="str">
        <f aca="false">IF(I119="","",IF(I119&gt;H119,"Delayed","On Time"))</f>
        <v>Delayed</v>
      </c>
      <c r="K119" s="37" t="n">
        <f aca="false">IF(J119="Delayed",I119-H119,"")</f>
        <v>1</v>
      </c>
    </row>
    <row r="120" customFormat="false" ht="15" hidden="false" customHeight="false" outlineLevel="0" collapsed="false">
      <c r="A120" s="35" t="s">
        <v>184</v>
      </c>
      <c r="B120" s="36" t="n">
        <v>46218</v>
      </c>
      <c r="C120" s="36" t="n">
        <v>46224</v>
      </c>
      <c r="D120" s="35" t="s">
        <v>56</v>
      </c>
      <c r="E120" s="35" t="s">
        <v>35</v>
      </c>
      <c r="F120" s="35" t="s">
        <v>15</v>
      </c>
      <c r="G120" s="35"/>
      <c r="H120" s="37" t="n">
        <f aca="false">IFERROR(VLOOKUP(D120,Settings!$A$5:$C$14,3,FALSE()),"")</f>
        <v>6</v>
      </c>
      <c r="I120" s="37" t="n">
        <f aca="false">IF(C120="","",C120-B120)</f>
        <v>6</v>
      </c>
      <c r="J120" s="38" t="str">
        <f aca="false">IF(I120="","",IF(I120&gt;H120,"Delayed","On Time"))</f>
        <v>On Time</v>
      </c>
      <c r="K120" s="37" t="str">
        <f aca="false">IF(J120="Delayed",I120-H120,"")</f>
        <v/>
      </c>
    </row>
    <row r="121" customFormat="false" ht="15" hidden="false" customHeight="false" outlineLevel="0" collapsed="false">
      <c r="A121" s="35" t="s">
        <v>185</v>
      </c>
      <c r="B121" s="36" t="n">
        <v>46219</v>
      </c>
      <c r="C121" s="36" t="n">
        <v>46223</v>
      </c>
      <c r="D121" s="35" t="s">
        <v>44</v>
      </c>
      <c r="E121" s="35" t="s">
        <v>34</v>
      </c>
      <c r="F121" s="35" t="s">
        <v>15</v>
      </c>
      <c r="G121" s="35"/>
      <c r="H121" s="37" t="n">
        <f aca="false">IFERROR(VLOOKUP(D121,Settings!$A$5:$C$14,3,FALSE()),"")</f>
        <v>3</v>
      </c>
      <c r="I121" s="37" t="n">
        <f aca="false">IF(C121="","",C121-B121)</f>
        <v>4</v>
      </c>
      <c r="J121" s="38" t="str">
        <f aca="false">IF(I121="","",IF(I121&gt;H121,"Delayed","On Time"))</f>
        <v>Delayed</v>
      </c>
      <c r="K121" s="37" t="n">
        <f aca="false">IF(J121="Delayed",I121-H121,"")</f>
        <v>1</v>
      </c>
    </row>
    <row r="122" customFormat="false" ht="15" hidden="false" customHeight="false" outlineLevel="0" collapsed="false">
      <c r="A122" s="35" t="s">
        <v>186</v>
      </c>
      <c r="B122" s="36" t="n">
        <v>46219</v>
      </c>
      <c r="C122" s="36" t="n">
        <v>46225</v>
      </c>
      <c r="D122" s="35" t="s">
        <v>52</v>
      </c>
      <c r="E122" s="35" t="s">
        <v>35</v>
      </c>
      <c r="F122" s="35" t="s">
        <v>15</v>
      </c>
      <c r="G122" s="35"/>
      <c r="H122" s="37" t="n">
        <f aca="false">IFERROR(VLOOKUP(D122,Settings!$A$5:$C$14,3,FALSE()),"")</f>
        <v>4</v>
      </c>
      <c r="I122" s="37" t="n">
        <f aca="false">IF(C122="","",C122-B122)</f>
        <v>6</v>
      </c>
      <c r="J122" s="38" t="str">
        <f aca="false">IF(I122="","",IF(I122&gt;H122,"Delayed","On Time"))</f>
        <v>Delayed</v>
      </c>
      <c r="K122" s="37" t="n">
        <f aca="false">IF(J122="Delayed",I122-H122,"")</f>
        <v>2</v>
      </c>
    </row>
    <row r="123" customFormat="false" ht="15" hidden="false" customHeight="false" outlineLevel="0" collapsed="false">
      <c r="A123" s="35" t="s">
        <v>187</v>
      </c>
      <c r="B123" s="36" t="n">
        <v>46219</v>
      </c>
      <c r="C123" s="36" t="n">
        <v>46224</v>
      </c>
      <c r="D123" s="35" t="s">
        <v>46</v>
      </c>
      <c r="E123" s="35" t="s">
        <v>35</v>
      </c>
      <c r="F123" s="35" t="s">
        <v>15</v>
      </c>
      <c r="G123" s="35"/>
      <c r="H123" s="37" t="n">
        <f aca="false">IFERROR(VLOOKUP(D123,Settings!$A$5:$C$14,3,FALSE()),"")</f>
        <v>3</v>
      </c>
      <c r="I123" s="37" t="n">
        <f aca="false">IF(C123="","",C123-B123)</f>
        <v>5</v>
      </c>
      <c r="J123" s="38" t="str">
        <f aca="false">IF(I123="","",IF(I123&gt;H123,"Delayed","On Time"))</f>
        <v>Delayed</v>
      </c>
      <c r="K123" s="37" t="n">
        <f aca="false">IF(J123="Delayed",I123-H123,"")</f>
        <v>2</v>
      </c>
    </row>
    <row r="124" customFormat="false" ht="15" hidden="false" customHeight="false" outlineLevel="0" collapsed="false">
      <c r="A124" s="35" t="s">
        <v>188</v>
      </c>
      <c r="B124" s="36" t="n">
        <v>46219</v>
      </c>
      <c r="C124" s="36" t="n">
        <v>46223</v>
      </c>
      <c r="D124" s="35" t="s">
        <v>44</v>
      </c>
      <c r="E124" s="35" t="s">
        <v>34</v>
      </c>
      <c r="F124" s="35" t="s">
        <v>15</v>
      </c>
      <c r="G124" s="35"/>
      <c r="H124" s="37" t="n">
        <f aca="false">IFERROR(VLOOKUP(D124,Settings!$A$5:$C$14,3,FALSE()),"")</f>
        <v>3</v>
      </c>
      <c r="I124" s="37" t="n">
        <f aca="false">IF(C124="","",C124-B124)</f>
        <v>4</v>
      </c>
      <c r="J124" s="38" t="str">
        <f aca="false">IF(I124="","",IF(I124&gt;H124,"Delayed","On Time"))</f>
        <v>Delayed</v>
      </c>
      <c r="K124" s="37" t="n">
        <f aca="false">IF(J124="Delayed",I124-H124,"")</f>
        <v>1</v>
      </c>
    </row>
    <row r="125" customFormat="false" ht="15" hidden="false" customHeight="false" outlineLevel="0" collapsed="false">
      <c r="A125" s="35" t="s">
        <v>189</v>
      </c>
      <c r="B125" s="36" t="n">
        <v>46219</v>
      </c>
      <c r="C125" s="36" t="n">
        <v>46225</v>
      </c>
      <c r="D125" s="35" t="s">
        <v>53</v>
      </c>
      <c r="E125" s="35" t="s">
        <v>35</v>
      </c>
      <c r="F125" s="35" t="s">
        <v>15</v>
      </c>
      <c r="G125" s="35"/>
      <c r="H125" s="37" t="n">
        <f aca="false">IFERROR(VLOOKUP(D125,Settings!$A$5:$C$14,3,FALSE()),"")</f>
        <v>5</v>
      </c>
      <c r="I125" s="37" t="n">
        <f aca="false">IF(C125="","",C125-B125)</f>
        <v>6</v>
      </c>
      <c r="J125" s="38" t="str">
        <f aca="false">IF(I125="","",IF(I125&gt;H125,"Delayed","On Time"))</f>
        <v>Delayed</v>
      </c>
      <c r="K125" s="37" t="n">
        <f aca="false">IF(J125="Delayed",I125-H125,"")</f>
        <v>1</v>
      </c>
    </row>
    <row r="126" customFormat="false" ht="15" hidden="false" customHeight="false" outlineLevel="0" collapsed="false">
      <c r="A126" s="35" t="s">
        <v>190</v>
      </c>
      <c r="B126" s="36" t="n">
        <v>46219</v>
      </c>
      <c r="C126" s="36" t="n">
        <v>46222</v>
      </c>
      <c r="D126" s="35" t="s">
        <v>50</v>
      </c>
      <c r="E126" s="35" t="s">
        <v>33</v>
      </c>
      <c r="F126" s="35" t="s">
        <v>15</v>
      </c>
      <c r="G126" s="35"/>
      <c r="H126" s="37" t="n">
        <f aca="false">IFERROR(VLOOKUP(D126,Settings!$A$5:$C$14,3,FALSE()),"")</f>
        <v>3</v>
      </c>
      <c r="I126" s="37" t="n">
        <f aca="false">IF(C126="","",C126-B126)</f>
        <v>3</v>
      </c>
      <c r="J126" s="38" t="str">
        <f aca="false">IF(I126="","",IF(I126&gt;H126,"Delayed","On Time"))</f>
        <v>On Time</v>
      </c>
      <c r="K126" s="37" t="str">
        <f aca="false">IF(J126="Delayed",I126-H126,"")</f>
        <v/>
      </c>
    </row>
    <row r="127" customFormat="false" ht="15" hidden="false" customHeight="false" outlineLevel="0" collapsed="false">
      <c r="A127" s="35" t="s">
        <v>191</v>
      </c>
      <c r="B127" s="36" t="n">
        <v>46220</v>
      </c>
      <c r="C127" s="36" t="n">
        <v>46225</v>
      </c>
      <c r="D127" s="35" t="s">
        <v>44</v>
      </c>
      <c r="E127" s="35" t="s">
        <v>36</v>
      </c>
      <c r="F127" s="35" t="s">
        <v>15</v>
      </c>
      <c r="G127" s="35"/>
      <c r="H127" s="37" t="n">
        <f aca="false">IFERROR(VLOOKUP(D127,Settings!$A$5:$C$14,3,FALSE()),"")</f>
        <v>3</v>
      </c>
      <c r="I127" s="37" t="n">
        <f aca="false">IF(C127="","",C127-B127)</f>
        <v>5</v>
      </c>
      <c r="J127" s="38" t="str">
        <f aca="false">IF(I127="","",IF(I127&gt;H127,"Delayed","On Time"))</f>
        <v>Delayed</v>
      </c>
      <c r="K127" s="37" t="n">
        <f aca="false">IF(J127="Delayed",I127-H127,"")</f>
        <v>2</v>
      </c>
    </row>
    <row r="128" customFormat="false" ht="15" hidden="false" customHeight="false" outlineLevel="0" collapsed="false">
      <c r="A128" s="35" t="s">
        <v>192</v>
      </c>
      <c r="B128" s="36" t="n">
        <v>46220</v>
      </c>
      <c r="C128" s="36" t="n">
        <v>46221</v>
      </c>
      <c r="D128" s="35" t="s">
        <v>44</v>
      </c>
      <c r="E128" s="35" t="s">
        <v>36</v>
      </c>
      <c r="F128" s="35" t="s">
        <v>15</v>
      </c>
      <c r="G128" s="35"/>
      <c r="H128" s="37" t="n">
        <f aca="false">IFERROR(VLOOKUP(D128,Settings!$A$5:$C$14,3,FALSE()),"")</f>
        <v>3</v>
      </c>
      <c r="I128" s="37" t="n">
        <f aca="false">IF(C128="","",C128-B128)</f>
        <v>1</v>
      </c>
      <c r="J128" s="38" t="str">
        <f aca="false">IF(I128="","",IF(I128&gt;H128,"Delayed","On Time"))</f>
        <v>On Time</v>
      </c>
      <c r="K128" s="37" t="str">
        <f aca="false">IF(J128="Delayed",I128-H128,"")</f>
        <v/>
      </c>
    </row>
    <row r="129" customFormat="false" ht="15" hidden="false" customHeight="false" outlineLevel="0" collapsed="false">
      <c r="A129" s="35" t="s">
        <v>193</v>
      </c>
      <c r="B129" s="36" t="n">
        <v>46220</v>
      </c>
      <c r="C129" s="36" t="n">
        <v>46225</v>
      </c>
      <c r="D129" s="35" t="s">
        <v>48</v>
      </c>
      <c r="E129" s="35" t="s">
        <v>34</v>
      </c>
      <c r="F129" s="35" t="s">
        <v>15</v>
      </c>
      <c r="G129" s="35"/>
      <c r="H129" s="37" t="n">
        <f aca="false">IFERROR(VLOOKUP(D129,Settings!$A$5:$C$14,3,FALSE()),"")</f>
        <v>3</v>
      </c>
      <c r="I129" s="37" t="n">
        <f aca="false">IF(C129="","",C129-B129)</f>
        <v>5</v>
      </c>
      <c r="J129" s="38" t="str">
        <f aca="false">IF(I129="","",IF(I129&gt;H129,"Delayed","On Time"))</f>
        <v>Delayed</v>
      </c>
      <c r="K129" s="37" t="n">
        <f aca="false">IF(J129="Delayed",I129-H129,"")</f>
        <v>2</v>
      </c>
    </row>
    <row r="130" customFormat="false" ht="15" hidden="false" customHeight="false" outlineLevel="0" collapsed="false">
      <c r="A130" s="35" t="s">
        <v>194</v>
      </c>
      <c r="B130" s="36" t="n">
        <v>46220</v>
      </c>
      <c r="C130" s="36" t="n">
        <v>46227</v>
      </c>
      <c r="D130" s="35" t="s">
        <v>54</v>
      </c>
      <c r="E130" s="35" t="s">
        <v>34</v>
      </c>
      <c r="F130" s="35" t="s">
        <v>15</v>
      </c>
      <c r="G130" s="35"/>
      <c r="H130" s="37" t="n">
        <f aca="false">IFERROR(VLOOKUP(D130,Settings!$A$5:$C$14,3,FALSE()),"")</f>
        <v>5</v>
      </c>
      <c r="I130" s="37" t="n">
        <f aca="false">IF(C130="","",C130-B130)</f>
        <v>7</v>
      </c>
      <c r="J130" s="38" t="str">
        <f aca="false">IF(I130="","",IF(I130&gt;H130,"Delayed","On Time"))</f>
        <v>Delayed</v>
      </c>
      <c r="K130" s="37" t="n">
        <f aca="false">IF(J130="Delayed",I130-H130,"")</f>
        <v>2</v>
      </c>
    </row>
    <row r="131" customFormat="false" ht="15" hidden="false" customHeight="false" outlineLevel="0" collapsed="false">
      <c r="A131" s="35" t="s">
        <v>195</v>
      </c>
      <c r="B131" s="36" t="n">
        <v>46220</v>
      </c>
      <c r="C131" s="36" t="n">
        <v>46222</v>
      </c>
      <c r="D131" s="35" t="s">
        <v>44</v>
      </c>
      <c r="E131" s="35" t="s">
        <v>36</v>
      </c>
      <c r="F131" s="35" t="s">
        <v>15</v>
      </c>
      <c r="G131" s="35"/>
      <c r="H131" s="37" t="n">
        <f aca="false">IFERROR(VLOOKUP(D131,Settings!$A$5:$C$14,3,FALSE()),"")</f>
        <v>3</v>
      </c>
      <c r="I131" s="37" t="n">
        <f aca="false">IF(C131="","",C131-B131)</f>
        <v>2</v>
      </c>
      <c r="J131" s="38" t="str">
        <f aca="false">IF(I131="","",IF(I131&gt;H131,"Delayed","On Time"))</f>
        <v>On Time</v>
      </c>
      <c r="K131" s="37" t="str">
        <f aca="false">IF(J131="Delayed",I131-H131,"")</f>
        <v/>
      </c>
    </row>
    <row r="132" customFormat="false" ht="15" hidden="false" customHeight="false" outlineLevel="0" collapsed="false">
      <c r="A132" s="35" t="s">
        <v>196</v>
      </c>
      <c r="B132" s="36" t="n">
        <v>46221</v>
      </c>
      <c r="C132" s="36" t="n">
        <v>46224</v>
      </c>
      <c r="D132" s="35" t="s">
        <v>50</v>
      </c>
      <c r="E132" s="35" t="s">
        <v>33</v>
      </c>
      <c r="F132" s="35" t="s">
        <v>15</v>
      </c>
      <c r="G132" s="35"/>
      <c r="H132" s="37" t="n">
        <f aca="false">IFERROR(VLOOKUP(D132,Settings!$A$5:$C$14,3,FALSE()),"")</f>
        <v>3</v>
      </c>
      <c r="I132" s="37" t="n">
        <f aca="false">IF(C132="","",C132-B132)</f>
        <v>3</v>
      </c>
      <c r="J132" s="38" t="str">
        <f aca="false">IF(I132="","",IF(I132&gt;H132,"Delayed","On Time"))</f>
        <v>On Time</v>
      </c>
      <c r="K132" s="37" t="str">
        <f aca="false">IF(J132="Delayed",I132-H132,"")</f>
        <v/>
      </c>
    </row>
    <row r="133" customFormat="false" ht="15" hidden="false" customHeight="false" outlineLevel="0" collapsed="false">
      <c r="A133" s="35" t="s">
        <v>197</v>
      </c>
      <c r="B133" s="36" t="n">
        <v>46221</v>
      </c>
      <c r="C133" s="36" t="n">
        <v>46224</v>
      </c>
      <c r="D133" s="35" t="s">
        <v>50</v>
      </c>
      <c r="E133" s="35" t="s">
        <v>35</v>
      </c>
      <c r="F133" s="35" t="s">
        <v>17</v>
      </c>
      <c r="G133" s="35" t="s">
        <v>49</v>
      </c>
      <c r="H133" s="37" t="n">
        <f aca="false">IFERROR(VLOOKUP(D133,Settings!$A$5:$C$14,3,FALSE()),"")</f>
        <v>3</v>
      </c>
      <c r="I133" s="37" t="n">
        <f aca="false">IF(C133="","",C133-B133)</f>
        <v>3</v>
      </c>
      <c r="J133" s="38" t="str">
        <f aca="false">IF(I133="","",IF(I133&gt;H133,"Delayed","On Time"))</f>
        <v>On Time</v>
      </c>
      <c r="K133" s="37" t="str">
        <f aca="false">IF(J133="Delayed",I133-H133,"")</f>
        <v/>
      </c>
    </row>
    <row r="134" customFormat="false" ht="15" hidden="false" customHeight="false" outlineLevel="0" collapsed="false">
      <c r="A134" s="35" t="s">
        <v>198</v>
      </c>
      <c r="B134" s="36" t="n">
        <v>46221</v>
      </c>
      <c r="C134" s="36" t="n">
        <v>46226</v>
      </c>
      <c r="D134" s="35" t="s">
        <v>48</v>
      </c>
      <c r="E134" s="35" t="s">
        <v>35</v>
      </c>
      <c r="F134" s="35" t="s">
        <v>15</v>
      </c>
      <c r="G134" s="35"/>
      <c r="H134" s="37" t="n">
        <f aca="false">IFERROR(VLOOKUP(D134,Settings!$A$5:$C$14,3,FALSE()),"")</f>
        <v>3</v>
      </c>
      <c r="I134" s="37" t="n">
        <f aca="false">IF(C134="","",C134-B134)</f>
        <v>5</v>
      </c>
      <c r="J134" s="38" t="str">
        <f aca="false">IF(I134="","",IF(I134&gt;H134,"Delayed","On Time"))</f>
        <v>Delayed</v>
      </c>
      <c r="K134" s="37" t="n">
        <f aca="false">IF(J134="Delayed",I134-H134,"")</f>
        <v>2</v>
      </c>
    </row>
    <row r="135" customFormat="false" ht="15" hidden="false" customHeight="false" outlineLevel="0" collapsed="false">
      <c r="A135" s="35" t="s">
        <v>199</v>
      </c>
      <c r="B135" s="36" t="n">
        <v>46221</v>
      </c>
      <c r="C135" s="36" t="n">
        <v>46223</v>
      </c>
      <c r="D135" s="35" t="s">
        <v>48</v>
      </c>
      <c r="E135" s="35" t="s">
        <v>36</v>
      </c>
      <c r="F135" s="35" t="s">
        <v>15</v>
      </c>
      <c r="G135" s="35"/>
      <c r="H135" s="37" t="n">
        <f aca="false">IFERROR(VLOOKUP(D135,Settings!$A$5:$C$14,3,FALSE()),"")</f>
        <v>3</v>
      </c>
      <c r="I135" s="37" t="n">
        <f aca="false">IF(C135="","",C135-B135)</f>
        <v>2</v>
      </c>
      <c r="J135" s="38" t="str">
        <f aca="false">IF(I135="","",IF(I135&gt;H135,"Delayed","On Time"))</f>
        <v>On Time</v>
      </c>
      <c r="K135" s="37" t="str">
        <f aca="false">IF(J135="Delayed",I135-H135,"")</f>
        <v/>
      </c>
    </row>
    <row r="136" customFormat="false" ht="15" hidden="false" customHeight="false" outlineLevel="0" collapsed="false">
      <c r="A136" s="35" t="s">
        <v>200</v>
      </c>
      <c r="B136" s="36" t="n">
        <v>46221</v>
      </c>
      <c r="C136" s="36"/>
      <c r="D136" s="35" t="s">
        <v>54</v>
      </c>
      <c r="E136" s="35" t="s">
        <v>33</v>
      </c>
      <c r="F136" s="35" t="s">
        <v>18</v>
      </c>
      <c r="G136" s="35" t="s">
        <v>47</v>
      </c>
      <c r="H136" s="37" t="n">
        <f aca="false">IFERROR(VLOOKUP(D136,Settings!$A$5:$C$14,3,FALSE()),"")</f>
        <v>5</v>
      </c>
      <c r="I136" s="37" t="str">
        <f aca="false">IF(C136="","",C136-B136)</f>
        <v/>
      </c>
      <c r="J136" s="38" t="str">
        <f aca="false">IF(I136="","",IF(I136&gt;H136,"Delayed","On Time"))</f>
        <v/>
      </c>
      <c r="K136" s="37" t="str">
        <f aca="false">IF(J136="Delayed",I136-H136,"")</f>
        <v/>
      </c>
    </row>
    <row r="137" customFormat="false" ht="15" hidden="false" customHeight="false" outlineLevel="0" collapsed="false">
      <c r="A137" s="35" t="s">
        <v>201</v>
      </c>
      <c r="B137" s="36" t="n">
        <v>46221</v>
      </c>
      <c r="C137" s="36" t="n">
        <v>46226</v>
      </c>
      <c r="D137" s="35" t="s">
        <v>46</v>
      </c>
      <c r="E137" s="35" t="s">
        <v>33</v>
      </c>
      <c r="F137" s="35" t="s">
        <v>15</v>
      </c>
      <c r="G137" s="35"/>
      <c r="H137" s="37" t="n">
        <f aca="false">IFERROR(VLOOKUP(D137,Settings!$A$5:$C$14,3,FALSE()),"")</f>
        <v>3</v>
      </c>
      <c r="I137" s="37" t="n">
        <f aca="false">IF(C137="","",C137-B137)</f>
        <v>5</v>
      </c>
      <c r="J137" s="38" t="str">
        <f aca="false">IF(I137="","",IF(I137&gt;H137,"Delayed","On Time"))</f>
        <v>Delayed</v>
      </c>
      <c r="K137" s="37" t="n">
        <f aca="false">IF(J137="Delayed",I137-H137,"")</f>
        <v>2</v>
      </c>
    </row>
    <row r="138" customFormat="false" ht="15" hidden="false" customHeight="false" outlineLevel="0" collapsed="false">
      <c r="A138" s="35" t="s">
        <v>202</v>
      </c>
      <c r="B138" s="36" t="n">
        <v>46221</v>
      </c>
      <c r="C138" s="36" t="n">
        <v>46224</v>
      </c>
      <c r="D138" s="35" t="s">
        <v>44</v>
      </c>
      <c r="E138" s="35" t="s">
        <v>34</v>
      </c>
      <c r="F138" s="35" t="s">
        <v>15</v>
      </c>
      <c r="G138" s="35"/>
      <c r="H138" s="37" t="n">
        <f aca="false">IFERROR(VLOOKUP(D138,Settings!$A$5:$C$14,3,FALSE()),"")</f>
        <v>3</v>
      </c>
      <c r="I138" s="37" t="n">
        <f aca="false">IF(C138="","",C138-B138)</f>
        <v>3</v>
      </c>
      <c r="J138" s="38" t="str">
        <f aca="false">IF(I138="","",IF(I138&gt;H138,"Delayed","On Time"))</f>
        <v>On Time</v>
      </c>
      <c r="K138" s="37" t="str">
        <f aca="false">IF(J138="Delayed",I138-H138,"")</f>
        <v/>
      </c>
    </row>
    <row r="139" customFormat="false" ht="15" hidden="false" customHeight="false" outlineLevel="0" collapsed="false">
      <c r="A139" s="35" t="s">
        <v>203</v>
      </c>
      <c r="B139" s="36" t="n">
        <v>46221</v>
      </c>
      <c r="C139" s="36" t="n">
        <v>46226</v>
      </c>
      <c r="D139" s="35" t="s">
        <v>46</v>
      </c>
      <c r="E139" s="35" t="s">
        <v>35</v>
      </c>
      <c r="F139" s="35" t="s">
        <v>15</v>
      </c>
      <c r="G139" s="35"/>
      <c r="H139" s="37" t="n">
        <f aca="false">IFERROR(VLOOKUP(D139,Settings!$A$5:$C$14,3,FALSE()),"")</f>
        <v>3</v>
      </c>
      <c r="I139" s="37" t="n">
        <f aca="false">IF(C139="","",C139-B139)</f>
        <v>5</v>
      </c>
      <c r="J139" s="38" t="str">
        <f aca="false">IF(I139="","",IF(I139&gt;H139,"Delayed","On Time"))</f>
        <v>Delayed</v>
      </c>
      <c r="K139" s="37" t="n">
        <f aca="false">IF(J139="Delayed",I139-H139,"")</f>
        <v>2</v>
      </c>
    </row>
    <row r="140" customFormat="false" ht="15" hidden="false" customHeight="false" outlineLevel="0" collapsed="false">
      <c r="A140" s="35" t="s">
        <v>204</v>
      </c>
      <c r="B140" s="36" t="n">
        <v>46221</v>
      </c>
      <c r="C140" s="36" t="n">
        <v>46222</v>
      </c>
      <c r="D140" s="35" t="s">
        <v>44</v>
      </c>
      <c r="E140" s="35" t="s">
        <v>33</v>
      </c>
      <c r="F140" s="35" t="s">
        <v>15</v>
      </c>
      <c r="G140" s="35"/>
      <c r="H140" s="37" t="n">
        <f aca="false">IFERROR(VLOOKUP(D140,Settings!$A$5:$C$14,3,FALSE()),"")</f>
        <v>3</v>
      </c>
      <c r="I140" s="37" t="n">
        <f aca="false">IF(C140="","",C140-B140)</f>
        <v>1</v>
      </c>
      <c r="J140" s="38" t="str">
        <f aca="false">IF(I140="","",IF(I140&gt;H140,"Delayed","On Time"))</f>
        <v>On Time</v>
      </c>
      <c r="K140" s="37" t="str">
        <f aca="false">IF(J140="Delayed",I140-H140,"")</f>
        <v/>
      </c>
    </row>
    <row r="141" customFormat="false" ht="15" hidden="false" customHeight="false" outlineLevel="0" collapsed="false">
      <c r="A141" s="35" t="s">
        <v>205</v>
      </c>
      <c r="B141" s="36" t="n">
        <v>46221</v>
      </c>
      <c r="C141" s="36" t="n">
        <v>46229</v>
      </c>
      <c r="D141" s="35" t="s">
        <v>57</v>
      </c>
      <c r="E141" s="35" t="s">
        <v>34</v>
      </c>
      <c r="F141" s="35" t="s">
        <v>17</v>
      </c>
      <c r="G141" s="35" t="s">
        <v>43</v>
      </c>
      <c r="H141" s="37" t="n">
        <f aca="false">IFERROR(VLOOKUP(D141,Settings!$A$5:$C$14,3,FALSE()),"")</f>
        <v>7</v>
      </c>
      <c r="I141" s="37" t="n">
        <f aca="false">IF(C141="","",C141-B141)</f>
        <v>8</v>
      </c>
      <c r="J141" s="38" t="str">
        <f aca="false">IF(I141="","",IF(I141&gt;H141,"Delayed","On Time"))</f>
        <v>Delayed</v>
      </c>
      <c r="K141" s="37" t="n">
        <f aca="false">IF(J141="Delayed",I141-H141,"")</f>
        <v>1</v>
      </c>
    </row>
    <row r="142" customFormat="false" ht="15" hidden="false" customHeight="false" outlineLevel="0" collapsed="false">
      <c r="A142" s="35" t="s">
        <v>206</v>
      </c>
      <c r="B142" s="36" t="n">
        <v>46222</v>
      </c>
      <c r="C142" s="36" t="n">
        <v>46228</v>
      </c>
      <c r="D142" s="35" t="s">
        <v>53</v>
      </c>
      <c r="E142" s="35" t="s">
        <v>35</v>
      </c>
      <c r="F142" s="35" t="s">
        <v>15</v>
      </c>
      <c r="G142" s="35"/>
      <c r="H142" s="37" t="n">
        <f aca="false">IFERROR(VLOOKUP(D142,Settings!$A$5:$C$14,3,FALSE()),"")</f>
        <v>5</v>
      </c>
      <c r="I142" s="37" t="n">
        <f aca="false">IF(C142="","",C142-B142)</f>
        <v>6</v>
      </c>
      <c r="J142" s="38" t="str">
        <f aca="false">IF(I142="","",IF(I142&gt;H142,"Delayed","On Time"))</f>
        <v>Delayed</v>
      </c>
      <c r="K142" s="37" t="n">
        <f aca="false">IF(J142="Delayed",I142-H142,"")</f>
        <v>1</v>
      </c>
    </row>
    <row r="143" customFormat="false" ht="15" hidden="false" customHeight="false" outlineLevel="0" collapsed="false">
      <c r="A143" s="35" t="s">
        <v>207</v>
      </c>
      <c r="B143" s="36" t="n">
        <v>46222</v>
      </c>
      <c r="C143" s="36" t="n">
        <v>46225</v>
      </c>
      <c r="D143" s="35" t="s">
        <v>44</v>
      </c>
      <c r="E143" s="35" t="s">
        <v>36</v>
      </c>
      <c r="F143" s="35" t="s">
        <v>15</v>
      </c>
      <c r="G143" s="35"/>
      <c r="H143" s="37" t="n">
        <f aca="false">IFERROR(VLOOKUP(D143,Settings!$A$5:$C$14,3,FALSE()),"")</f>
        <v>3</v>
      </c>
      <c r="I143" s="37" t="n">
        <f aca="false">IF(C143="","",C143-B143)</f>
        <v>3</v>
      </c>
      <c r="J143" s="38" t="str">
        <f aca="false">IF(I143="","",IF(I143&gt;H143,"Delayed","On Time"))</f>
        <v>On Time</v>
      </c>
      <c r="K143" s="37" t="str">
        <f aca="false">IF(J143="Delayed",I143-H143,"")</f>
        <v/>
      </c>
    </row>
    <row r="144" customFormat="false" ht="15" hidden="false" customHeight="false" outlineLevel="0" collapsed="false">
      <c r="A144" s="35" t="s">
        <v>208</v>
      </c>
      <c r="B144" s="36" t="n">
        <v>46222</v>
      </c>
      <c r="C144" s="36" t="n">
        <v>46226</v>
      </c>
      <c r="D144" s="35" t="s">
        <v>48</v>
      </c>
      <c r="E144" s="35" t="s">
        <v>34</v>
      </c>
      <c r="F144" s="35" t="s">
        <v>15</v>
      </c>
      <c r="G144" s="35"/>
      <c r="H144" s="37" t="n">
        <f aca="false">IFERROR(VLOOKUP(D144,Settings!$A$5:$C$14,3,FALSE()),"")</f>
        <v>3</v>
      </c>
      <c r="I144" s="37" t="n">
        <f aca="false">IF(C144="","",C144-B144)</f>
        <v>4</v>
      </c>
      <c r="J144" s="38" t="str">
        <f aca="false">IF(I144="","",IF(I144&gt;H144,"Delayed","On Time"))</f>
        <v>Delayed</v>
      </c>
      <c r="K144" s="37" t="n">
        <f aca="false">IF(J144="Delayed",I144-H144,"")</f>
        <v>1</v>
      </c>
    </row>
    <row r="145" customFormat="false" ht="15" hidden="false" customHeight="false" outlineLevel="0" collapsed="false">
      <c r="A145" s="35" t="s">
        <v>209</v>
      </c>
      <c r="B145" s="36" t="n">
        <v>46222</v>
      </c>
      <c r="C145" s="36" t="n">
        <v>46224</v>
      </c>
      <c r="D145" s="35" t="s">
        <v>50</v>
      </c>
      <c r="E145" s="35" t="s">
        <v>35</v>
      </c>
      <c r="F145" s="35" t="s">
        <v>15</v>
      </c>
      <c r="G145" s="35"/>
      <c r="H145" s="37" t="n">
        <f aca="false">IFERROR(VLOOKUP(D145,Settings!$A$5:$C$14,3,FALSE()),"")</f>
        <v>3</v>
      </c>
      <c r="I145" s="37" t="n">
        <f aca="false">IF(C145="","",C145-B145)</f>
        <v>2</v>
      </c>
      <c r="J145" s="38" t="str">
        <f aca="false">IF(I145="","",IF(I145&gt;H145,"Delayed","On Time"))</f>
        <v>On Time</v>
      </c>
      <c r="K145" s="37" t="str">
        <f aca="false">IF(J145="Delayed",I145-H145,"")</f>
        <v/>
      </c>
    </row>
    <row r="146" customFormat="false" ht="15" hidden="false" customHeight="false" outlineLevel="0" collapsed="false">
      <c r="A146" s="35" t="s">
        <v>210</v>
      </c>
      <c r="B146" s="36" t="n">
        <v>46222</v>
      </c>
      <c r="C146" s="36" t="n">
        <v>46225</v>
      </c>
      <c r="D146" s="35" t="s">
        <v>44</v>
      </c>
      <c r="E146" s="35" t="s">
        <v>35</v>
      </c>
      <c r="F146" s="35" t="s">
        <v>15</v>
      </c>
      <c r="G146" s="35"/>
      <c r="H146" s="37" t="n">
        <f aca="false">IFERROR(VLOOKUP(D146,Settings!$A$5:$C$14,3,FALSE()),"")</f>
        <v>3</v>
      </c>
      <c r="I146" s="37" t="n">
        <f aca="false">IF(C146="","",C146-B146)</f>
        <v>3</v>
      </c>
      <c r="J146" s="38" t="str">
        <f aca="false">IF(I146="","",IF(I146&gt;H146,"Delayed","On Time"))</f>
        <v>On Time</v>
      </c>
      <c r="K146" s="37" t="str">
        <f aca="false">IF(J146="Delayed",I146-H146,"")</f>
        <v/>
      </c>
    </row>
    <row r="147" customFormat="false" ht="15" hidden="false" customHeight="false" outlineLevel="0" collapsed="false">
      <c r="A147" s="35" t="s">
        <v>211</v>
      </c>
      <c r="B147" s="36" t="n">
        <v>46222</v>
      </c>
      <c r="C147" s="36" t="n">
        <v>46224</v>
      </c>
      <c r="D147" s="35" t="s">
        <v>48</v>
      </c>
      <c r="E147" s="35" t="s">
        <v>33</v>
      </c>
      <c r="F147" s="35" t="s">
        <v>15</v>
      </c>
      <c r="G147" s="35"/>
      <c r="H147" s="37" t="n">
        <f aca="false">IFERROR(VLOOKUP(D147,Settings!$A$5:$C$14,3,FALSE()),"")</f>
        <v>3</v>
      </c>
      <c r="I147" s="37" t="n">
        <f aca="false">IF(C147="","",C147-B147)</f>
        <v>2</v>
      </c>
      <c r="J147" s="38" t="str">
        <f aca="false">IF(I147="","",IF(I147&gt;H147,"Delayed","On Time"))</f>
        <v>On Time</v>
      </c>
      <c r="K147" s="37" t="str">
        <f aca="false">IF(J147="Delayed",I147-H147,"")</f>
        <v/>
      </c>
    </row>
    <row r="148" customFormat="false" ht="15" hidden="false" customHeight="false" outlineLevel="0" collapsed="false">
      <c r="A148" s="35" t="s">
        <v>212</v>
      </c>
      <c r="B148" s="36" t="n">
        <v>46223</v>
      </c>
      <c r="C148" s="36" t="n">
        <v>46224</v>
      </c>
      <c r="D148" s="35" t="s">
        <v>48</v>
      </c>
      <c r="E148" s="35" t="s">
        <v>33</v>
      </c>
      <c r="F148" s="35" t="s">
        <v>15</v>
      </c>
      <c r="G148" s="35"/>
      <c r="H148" s="37" t="n">
        <f aca="false">IFERROR(VLOOKUP(D148,Settings!$A$5:$C$14,3,FALSE()),"")</f>
        <v>3</v>
      </c>
      <c r="I148" s="37" t="n">
        <f aca="false">IF(C148="","",C148-B148)</f>
        <v>1</v>
      </c>
      <c r="J148" s="38" t="str">
        <f aca="false">IF(I148="","",IF(I148&gt;H148,"Delayed","On Time"))</f>
        <v>On Time</v>
      </c>
      <c r="K148" s="37" t="str">
        <f aca="false">IF(J148="Delayed",I148-H148,"")</f>
        <v/>
      </c>
    </row>
    <row r="149" customFormat="false" ht="15" hidden="false" customHeight="false" outlineLevel="0" collapsed="false">
      <c r="A149" s="35" t="s">
        <v>213</v>
      </c>
      <c r="B149" s="36" t="n">
        <v>46223</v>
      </c>
      <c r="C149" s="36" t="n">
        <v>46225</v>
      </c>
      <c r="D149" s="35" t="s">
        <v>44</v>
      </c>
      <c r="E149" s="35" t="s">
        <v>36</v>
      </c>
      <c r="F149" s="35" t="s">
        <v>15</v>
      </c>
      <c r="G149" s="35"/>
      <c r="H149" s="37" t="n">
        <f aca="false">IFERROR(VLOOKUP(D149,Settings!$A$5:$C$14,3,FALSE()),"")</f>
        <v>3</v>
      </c>
      <c r="I149" s="37" t="n">
        <f aca="false">IF(C149="","",C149-B149)</f>
        <v>2</v>
      </c>
      <c r="J149" s="38" t="str">
        <f aca="false">IF(I149="","",IF(I149&gt;H149,"Delayed","On Time"))</f>
        <v>On Time</v>
      </c>
      <c r="K149" s="37" t="str">
        <f aca="false">IF(J149="Delayed",I149-H149,"")</f>
        <v/>
      </c>
    </row>
    <row r="150" customFormat="false" ht="15" hidden="false" customHeight="false" outlineLevel="0" collapsed="false">
      <c r="A150" s="35" t="s">
        <v>214</v>
      </c>
      <c r="B150" s="36" t="n">
        <v>46223</v>
      </c>
      <c r="C150" s="36" t="n">
        <v>46225</v>
      </c>
      <c r="D150" s="35" t="s">
        <v>50</v>
      </c>
      <c r="E150" s="35" t="s">
        <v>36</v>
      </c>
      <c r="F150" s="35" t="s">
        <v>15</v>
      </c>
      <c r="G150" s="35"/>
      <c r="H150" s="37" t="n">
        <f aca="false">IFERROR(VLOOKUP(D150,Settings!$A$5:$C$14,3,FALSE()),"")</f>
        <v>3</v>
      </c>
      <c r="I150" s="37" t="n">
        <f aca="false">IF(C150="","",C150-B150)</f>
        <v>2</v>
      </c>
      <c r="J150" s="38" t="str">
        <f aca="false">IF(I150="","",IF(I150&gt;H150,"Delayed","On Time"))</f>
        <v>On Time</v>
      </c>
      <c r="K150" s="37" t="str">
        <f aca="false">IF(J150="Delayed",I150-H150,"")</f>
        <v/>
      </c>
    </row>
    <row r="151" customFormat="false" ht="15" hidden="false" customHeight="false" outlineLevel="0" collapsed="false">
      <c r="A151" s="35" t="s">
        <v>215</v>
      </c>
      <c r="B151" s="36" t="n">
        <v>46223</v>
      </c>
      <c r="C151" s="36" t="n">
        <v>46225</v>
      </c>
      <c r="D151" s="35" t="s">
        <v>50</v>
      </c>
      <c r="E151" s="35" t="s">
        <v>33</v>
      </c>
      <c r="F151" s="35" t="s">
        <v>15</v>
      </c>
      <c r="G151" s="35"/>
      <c r="H151" s="37" t="n">
        <f aca="false">IFERROR(VLOOKUP(D151,Settings!$A$5:$C$14,3,FALSE()),"")</f>
        <v>3</v>
      </c>
      <c r="I151" s="37" t="n">
        <f aca="false">IF(C151="","",C151-B151)</f>
        <v>2</v>
      </c>
      <c r="J151" s="38" t="str">
        <f aca="false">IF(I151="","",IF(I151&gt;H151,"Delayed","On Time"))</f>
        <v>On Time</v>
      </c>
      <c r="K151" s="37" t="str">
        <f aca="false">IF(J151="Delayed",I151-H151,"")</f>
        <v/>
      </c>
    </row>
    <row r="152" customFormat="false" ht="15" hidden="false" customHeight="false" outlineLevel="0" collapsed="false">
      <c r="A152" s="35" t="s">
        <v>216</v>
      </c>
      <c r="B152" s="36" t="n">
        <v>46223</v>
      </c>
      <c r="C152" s="36" t="n">
        <v>46226</v>
      </c>
      <c r="D152" s="35" t="s">
        <v>44</v>
      </c>
      <c r="E152" s="35" t="s">
        <v>35</v>
      </c>
      <c r="F152" s="35" t="s">
        <v>15</v>
      </c>
      <c r="G152" s="35"/>
      <c r="H152" s="37" t="n">
        <f aca="false">IFERROR(VLOOKUP(D152,Settings!$A$5:$C$14,3,FALSE()),"")</f>
        <v>3</v>
      </c>
      <c r="I152" s="37" t="n">
        <f aca="false">IF(C152="","",C152-B152)</f>
        <v>3</v>
      </c>
      <c r="J152" s="38" t="str">
        <f aca="false">IF(I152="","",IF(I152&gt;H152,"Delayed","On Time"))</f>
        <v>On Time</v>
      </c>
      <c r="K152" s="37" t="str">
        <f aca="false">IF(J152="Delayed",I152-H152,"")</f>
        <v/>
      </c>
    </row>
    <row r="153" customFormat="false" ht="15" hidden="false" customHeight="false" outlineLevel="0" collapsed="false">
      <c r="A153" s="35" t="s">
        <v>217</v>
      </c>
      <c r="B153" s="36" t="n">
        <v>46223</v>
      </c>
      <c r="C153" s="36" t="n">
        <v>46227</v>
      </c>
      <c r="D153" s="35" t="s">
        <v>46</v>
      </c>
      <c r="E153" s="35" t="s">
        <v>33</v>
      </c>
      <c r="F153" s="35" t="s">
        <v>15</v>
      </c>
      <c r="G153" s="35"/>
      <c r="H153" s="37" t="n">
        <f aca="false">IFERROR(VLOOKUP(D153,Settings!$A$5:$C$14,3,FALSE()),"")</f>
        <v>3</v>
      </c>
      <c r="I153" s="37" t="n">
        <f aca="false">IF(C153="","",C153-B153)</f>
        <v>4</v>
      </c>
      <c r="J153" s="38" t="str">
        <f aca="false">IF(I153="","",IF(I153&gt;H153,"Delayed","On Time"))</f>
        <v>Delayed</v>
      </c>
      <c r="K153" s="37" t="n">
        <f aca="false">IF(J153="Delayed",I153-H153,"")</f>
        <v>1</v>
      </c>
    </row>
    <row r="154" customFormat="false" ht="15" hidden="false" customHeight="false" outlineLevel="0" collapsed="false">
      <c r="A154" s="35" t="s">
        <v>218</v>
      </c>
      <c r="B154" s="36" t="n">
        <v>46223</v>
      </c>
      <c r="C154" s="36" t="n">
        <v>46228</v>
      </c>
      <c r="D154" s="35" t="s">
        <v>54</v>
      </c>
      <c r="E154" s="35" t="s">
        <v>34</v>
      </c>
      <c r="F154" s="35" t="s">
        <v>15</v>
      </c>
      <c r="G154" s="35"/>
      <c r="H154" s="37" t="n">
        <f aca="false">IFERROR(VLOOKUP(D154,Settings!$A$5:$C$14,3,FALSE()),"")</f>
        <v>5</v>
      </c>
      <c r="I154" s="37" t="n">
        <f aca="false">IF(C154="","",C154-B154)</f>
        <v>5</v>
      </c>
      <c r="J154" s="38" t="str">
        <f aca="false">IF(I154="","",IF(I154&gt;H154,"Delayed","On Time"))</f>
        <v>On Time</v>
      </c>
      <c r="K154" s="37" t="str">
        <f aca="false">IF(J154="Delayed",I154-H154,"")</f>
        <v/>
      </c>
    </row>
    <row r="155" customFormat="false" ht="15" hidden="false" customHeight="false" outlineLevel="0" collapsed="false">
      <c r="A155" s="35" t="s">
        <v>219</v>
      </c>
      <c r="B155" s="36" t="n">
        <v>46223</v>
      </c>
      <c r="C155" s="36" t="n">
        <v>46224</v>
      </c>
      <c r="D155" s="35" t="s">
        <v>44</v>
      </c>
      <c r="E155" s="35" t="s">
        <v>34</v>
      </c>
      <c r="F155" s="35" t="s">
        <v>15</v>
      </c>
      <c r="G155" s="35"/>
      <c r="H155" s="37" t="n">
        <f aca="false">IFERROR(VLOOKUP(D155,Settings!$A$5:$C$14,3,FALSE()),"")</f>
        <v>3</v>
      </c>
      <c r="I155" s="37" t="n">
        <f aca="false">IF(C155="","",C155-B155)</f>
        <v>1</v>
      </c>
      <c r="J155" s="38" t="str">
        <f aca="false">IF(I155="","",IF(I155&gt;H155,"Delayed","On Time"))</f>
        <v>On Time</v>
      </c>
      <c r="K155" s="37" t="str">
        <f aca="false">IF(J155="Delayed",I155-H155,"")</f>
        <v/>
      </c>
    </row>
    <row r="156" customFormat="false" ht="15" hidden="false" customHeight="false" outlineLevel="0" collapsed="false">
      <c r="A156" s="35" t="s">
        <v>220</v>
      </c>
      <c r="B156" s="36" t="n">
        <v>46223</v>
      </c>
      <c r="C156" s="36" t="n">
        <v>46225</v>
      </c>
      <c r="D156" s="35" t="s">
        <v>50</v>
      </c>
      <c r="E156" s="35" t="s">
        <v>33</v>
      </c>
      <c r="F156" s="35" t="s">
        <v>15</v>
      </c>
      <c r="G156" s="35"/>
      <c r="H156" s="37" t="n">
        <f aca="false">IFERROR(VLOOKUP(D156,Settings!$A$5:$C$14,3,FALSE()),"")</f>
        <v>3</v>
      </c>
      <c r="I156" s="37" t="n">
        <f aca="false">IF(C156="","",C156-B156)</f>
        <v>2</v>
      </c>
      <c r="J156" s="38" t="str">
        <f aca="false">IF(I156="","",IF(I156&gt;H156,"Delayed","On Time"))</f>
        <v>On Time</v>
      </c>
      <c r="K156" s="37" t="str">
        <f aca="false">IF(J156="Delayed",I156-H156,"")</f>
        <v/>
      </c>
    </row>
    <row r="157" customFormat="false" ht="15" hidden="false" customHeight="false" outlineLevel="0" collapsed="false">
      <c r="A157" s="35" t="s">
        <v>221</v>
      </c>
      <c r="B157" s="36" t="n">
        <v>46223</v>
      </c>
      <c r="C157" s="36" t="n">
        <v>46225</v>
      </c>
      <c r="D157" s="35" t="s">
        <v>46</v>
      </c>
      <c r="E157" s="35" t="s">
        <v>33</v>
      </c>
      <c r="F157" s="35" t="s">
        <v>15</v>
      </c>
      <c r="G157" s="35"/>
      <c r="H157" s="37" t="n">
        <f aca="false">IFERROR(VLOOKUP(D157,Settings!$A$5:$C$14,3,FALSE()),"")</f>
        <v>3</v>
      </c>
      <c r="I157" s="37" t="n">
        <f aca="false">IF(C157="","",C157-B157)</f>
        <v>2</v>
      </c>
      <c r="J157" s="38" t="str">
        <f aca="false">IF(I157="","",IF(I157&gt;H157,"Delayed","On Time"))</f>
        <v>On Time</v>
      </c>
      <c r="K157" s="37" t="str">
        <f aca="false">IF(J157="Delayed",I157-H157,"")</f>
        <v/>
      </c>
    </row>
    <row r="158" customFormat="false" ht="15" hidden="false" customHeight="false" outlineLevel="0" collapsed="false">
      <c r="A158" s="35" t="s">
        <v>222</v>
      </c>
      <c r="B158" s="36" t="n">
        <v>46223</v>
      </c>
      <c r="C158" s="36" t="n">
        <v>46229</v>
      </c>
      <c r="D158" s="35" t="s">
        <v>50</v>
      </c>
      <c r="E158" s="35" t="s">
        <v>35</v>
      </c>
      <c r="F158" s="35" t="s">
        <v>15</v>
      </c>
      <c r="G158" s="35"/>
      <c r="H158" s="37" t="n">
        <f aca="false">IFERROR(VLOOKUP(D158,Settings!$A$5:$C$14,3,FALSE()),"")</f>
        <v>3</v>
      </c>
      <c r="I158" s="37" t="n">
        <f aca="false">IF(C158="","",C158-B158)</f>
        <v>6</v>
      </c>
      <c r="J158" s="38" t="str">
        <f aca="false">IF(I158="","",IF(I158&gt;H158,"Delayed","On Time"))</f>
        <v>Delayed</v>
      </c>
      <c r="K158" s="37" t="n">
        <f aca="false">IF(J158="Delayed",I158-H158,"")</f>
        <v>3</v>
      </c>
    </row>
    <row r="159" customFormat="false" ht="15" hidden="false" customHeight="false" outlineLevel="0" collapsed="false">
      <c r="A159" s="35" t="s">
        <v>223</v>
      </c>
      <c r="B159" s="36" t="n">
        <v>46224</v>
      </c>
      <c r="C159" s="36" t="n">
        <v>46228</v>
      </c>
      <c r="D159" s="35" t="s">
        <v>46</v>
      </c>
      <c r="E159" s="35" t="s">
        <v>36</v>
      </c>
      <c r="F159" s="35" t="s">
        <v>15</v>
      </c>
      <c r="G159" s="35"/>
      <c r="H159" s="37" t="n">
        <f aca="false">IFERROR(VLOOKUP(D159,Settings!$A$5:$C$14,3,FALSE()),"")</f>
        <v>3</v>
      </c>
      <c r="I159" s="37" t="n">
        <f aca="false">IF(C159="","",C159-B159)</f>
        <v>4</v>
      </c>
      <c r="J159" s="38" t="str">
        <f aca="false">IF(I159="","",IF(I159&gt;H159,"Delayed","On Time"))</f>
        <v>Delayed</v>
      </c>
      <c r="K159" s="37" t="n">
        <f aca="false">IF(J159="Delayed",I159-H159,"")</f>
        <v>1</v>
      </c>
    </row>
    <row r="160" customFormat="false" ht="15" hidden="false" customHeight="false" outlineLevel="0" collapsed="false">
      <c r="A160" s="35" t="s">
        <v>224</v>
      </c>
      <c r="B160" s="36" t="n">
        <v>46224</v>
      </c>
      <c r="C160" s="36" t="n">
        <v>46228</v>
      </c>
      <c r="D160" s="35" t="s">
        <v>46</v>
      </c>
      <c r="E160" s="35" t="s">
        <v>34</v>
      </c>
      <c r="F160" s="35" t="s">
        <v>15</v>
      </c>
      <c r="G160" s="35"/>
      <c r="H160" s="37" t="n">
        <f aca="false">IFERROR(VLOOKUP(D160,Settings!$A$5:$C$14,3,FALSE()),"")</f>
        <v>3</v>
      </c>
      <c r="I160" s="37" t="n">
        <f aca="false">IF(C160="","",C160-B160)</f>
        <v>4</v>
      </c>
      <c r="J160" s="38" t="str">
        <f aca="false">IF(I160="","",IF(I160&gt;H160,"Delayed","On Time"))</f>
        <v>Delayed</v>
      </c>
      <c r="K160" s="37" t="n">
        <f aca="false">IF(J160="Delayed",I160-H160,"")</f>
        <v>1</v>
      </c>
    </row>
    <row r="161" customFormat="false" ht="15" hidden="false" customHeight="false" outlineLevel="0" collapsed="false">
      <c r="A161" s="35" t="s">
        <v>225</v>
      </c>
      <c r="B161" s="36" t="n">
        <v>46224</v>
      </c>
      <c r="C161" s="36" t="n">
        <v>46230</v>
      </c>
      <c r="D161" s="35" t="s">
        <v>55</v>
      </c>
      <c r="E161" s="35" t="s">
        <v>34</v>
      </c>
      <c r="F161" s="35" t="s">
        <v>15</v>
      </c>
      <c r="G161" s="35"/>
      <c r="H161" s="37" t="n">
        <f aca="false">IFERROR(VLOOKUP(D161,Settings!$A$5:$C$14,3,FALSE()),"")</f>
        <v>5</v>
      </c>
      <c r="I161" s="37" t="n">
        <f aca="false">IF(C161="","",C161-B161)</f>
        <v>6</v>
      </c>
      <c r="J161" s="38" t="str">
        <f aca="false">IF(I161="","",IF(I161&gt;H161,"Delayed","On Time"))</f>
        <v>Delayed</v>
      </c>
      <c r="K161" s="37" t="n">
        <f aca="false">IF(J161="Delayed",I161-H161,"")</f>
        <v>1</v>
      </c>
    </row>
    <row r="162" customFormat="false" ht="15" hidden="false" customHeight="false" outlineLevel="0" collapsed="false">
      <c r="A162" s="35" t="s">
        <v>226</v>
      </c>
      <c r="B162" s="36" t="n">
        <v>46224</v>
      </c>
      <c r="C162" s="36" t="n">
        <v>46227</v>
      </c>
      <c r="D162" s="35" t="s">
        <v>44</v>
      </c>
      <c r="E162" s="35" t="s">
        <v>35</v>
      </c>
      <c r="F162" s="35" t="s">
        <v>15</v>
      </c>
      <c r="G162" s="35"/>
      <c r="H162" s="37" t="n">
        <f aca="false">IFERROR(VLOOKUP(D162,Settings!$A$5:$C$14,3,FALSE()),"")</f>
        <v>3</v>
      </c>
      <c r="I162" s="37" t="n">
        <f aca="false">IF(C162="","",C162-B162)</f>
        <v>3</v>
      </c>
      <c r="J162" s="38" t="str">
        <f aca="false">IF(I162="","",IF(I162&gt;H162,"Delayed","On Time"))</f>
        <v>On Time</v>
      </c>
      <c r="K162" s="37" t="str">
        <f aca="false">IF(J162="Delayed",I162-H162,"")</f>
        <v/>
      </c>
    </row>
    <row r="163" customFormat="false" ht="15" hidden="false" customHeight="false" outlineLevel="0" collapsed="false">
      <c r="A163" s="35" t="s">
        <v>227</v>
      </c>
      <c r="B163" s="36" t="n">
        <v>46224</v>
      </c>
      <c r="C163" s="36" t="n">
        <v>46230</v>
      </c>
      <c r="D163" s="35" t="s">
        <v>53</v>
      </c>
      <c r="E163" s="35" t="s">
        <v>35</v>
      </c>
      <c r="F163" s="35" t="s">
        <v>17</v>
      </c>
      <c r="G163" s="35" t="s">
        <v>51</v>
      </c>
      <c r="H163" s="37" t="n">
        <f aca="false">IFERROR(VLOOKUP(D163,Settings!$A$5:$C$14,3,FALSE()),"")</f>
        <v>5</v>
      </c>
      <c r="I163" s="37" t="n">
        <f aca="false">IF(C163="","",C163-B163)</f>
        <v>6</v>
      </c>
      <c r="J163" s="38" t="str">
        <f aca="false">IF(I163="","",IF(I163&gt;H163,"Delayed","On Time"))</f>
        <v>Delayed</v>
      </c>
      <c r="K163" s="37" t="n">
        <f aca="false">IF(J163="Delayed",I163-H163,"")</f>
        <v>1</v>
      </c>
    </row>
    <row r="164" customFormat="false" ht="15" hidden="false" customHeight="false" outlineLevel="0" collapsed="false">
      <c r="A164" s="35" t="s">
        <v>228</v>
      </c>
      <c r="B164" s="36" t="n">
        <v>46224</v>
      </c>
      <c r="C164" s="36" t="n">
        <v>46228</v>
      </c>
      <c r="D164" s="35" t="s">
        <v>46</v>
      </c>
      <c r="E164" s="35" t="s">
        <v>33</v>
      </c>
      <c r="F164" s="35" t="s">
        <v>15</v>
      </c>
      <c r="G164" s="35"/>
      <c r="H164" s="37" t="n">
        <f aca="false">IFERROR(VLOOKUP(D164,Settings!$A$5:$C$14,3,FALSE()),"")</f>
        <v>3</v>
      </c>
      <c r="I164" s="37" t="n">
        <f aca="false">IF(C164="","",C164-B164)</f>
        <v>4</v>
      </c>
      <c r="J164" s="38" t="str">
        <f aca="false">IF(I164="","",IF(I164&gt;H164,"Delayed","On Time"))</f>
        <v>Delayed</v>
      </c>
      <c r="K164" s="37" t="n">
        <f aca="false">IF(J164="Delayed",I164-H164,"")</f>
        <v>1</v>
      </c>
    </row>
    <row r="165" customFormat="false" ht="15" hidden="false" customHeight="false" outlineLevel="0" collapsed="false">
      <c r="A165" s="35" t="s">
        <v>229</v>
      </c>
      <c r="B165" s="36" t="n">
        <v>46225</v>
      </c>
      <c r="C165" s="36" t="n">
        <v>46229</v>
      </c>
      <c r="D165" s="35" t="s">
        <v>48</v>
      </c>
      <c r="E165" s="35" t="s">
        <v>35</v>
      </c>
      <c r="F165" s="35" t="s">
        <v>15</v>
      </c>
      <c r="G165" s="35"/>
      <c r="H165" s="37" t="n">
        <f aca="false">IFERROR(VLOOKUP(D165,Settings!$A$5:$C$14,3,FALSE()),"")</f>
        <v>3</v>
      </c>
      <c r="I165" s="37" t="n">
        <f aca="false">IF(C165="","",C165-B165)</f>
        <v>4</v>
      </c>
      <c r="J165" s="38" t="str">
        <f aca="false">IF(I165="","",IF(I165&gt;H165,"Delayed","On Time"))</f>
        <v>Delayed</v>
      </c>
      <c r="K165" s="37" t="n">
        <f aca="false">IF(J165="Delayed",I165-H165,"")</f>
        <v>1</v>
      </c>
    </row>
    <row r="166" customFormat="false" ht="15" hidden="false" customHeight="false" outlineLevel="0" collapsed="false">
      <c r="A166" s="35" t="s">
        <v>230</v>
      </c>
      <c r="B166" s="36" t="n">
        <v>46225</v>
      </c>
      <c r="C166" s="36" t="n">
        <v>46228</v>
      </c>
      <c r="D166" s="35" t="s">
        <v>50</v>
      </c>
      <c r="E166" s="35" t="s">
        <v>34</v>
      </c>
      <c r="F166" s="35" t="s">
        <v>15</v>
      </c>
      <c r="G166" s="35"/>
      <c r="H166" s="37" t="n">
        <f aca="false">IFERROR(VLOOKUP(D166,Settings!$A$5:$C$14,3,FALSE()),"")</f>
        <v>3</v>
      </c>
      <c r="I166" s="37" t="n">
        <f aca="false">IF(C166="","",C166-B166)</f>
        <v>3</v>
      </c>
      <c r="J166" s="38" t="str">
        <f aca="false">IF(I166="","",IF(I166&gt;H166,"Delayed","On Time"))</f>
        <v>On Time</v>
      </c>
      <c r="K166" s="37" t="str">
        <f aca="false">IF(J166="Delayed",I166-H166,"")</f>
        <v/>
      </c>
    </row>
    <row r="167" customFormat="false" ht="15" hidden="false" customHeight="false" outlineLevel="0" collapsed="false">
      <c r="A167" s="35" t="s">
        <v>231</v>
      </c>
      <c r="B167" s="36" t="n">
        <v>46225</v>
      </c>
      <c r="C167" s="36" t="n">
        <v>46230</v>
      </c>
      <c r="D167" s="35" t="s">
        <v>46</v>
      </c>
      <c r="E167" s="35" t="s">
        <v>34</v>
      </c>
      <c r="F167" s="35" t="s">
        <v>15</v>
      </c>
      <c r="G167" s="35"/>
      <c r="H167" s="37" t="n">
        <f aca="false">IFERROR(VLOOKUP(D167,Settings!$A$5:$C$14,3,FALSE()),"")</f>
        <v>3</v>
      </c>
      <c r="I167" s="37" t="n">
        <f aca="false">IF(C167="","",C167-B167)</f>
        <v>5</v>
      </c>
      <c r="J167" s="38" t="str">
        <f aca="false">IF(I167="","",IF(I167&gt;H167,"Delayed","On Time"))</f>
        <v>Delayed</v>
      </c>
      <c r="K167" s="37" t="n">
        <f aca="false">IF(J167="Delayed",I167-H167,"")</f>
        <v>2</v>
      </c>
    </row>
    <row r="168" customFormat="false" ht="15" hidden="false" customHeight="false" outlineLevel="0" collapsed="false">
      <c r="A168" s="35" t="s">
        <v>232</v>
      </c>
      <c r="B168" s="36" t="n">
        <v>46225</v>
      </c>
      <c r="C168" s="36" t="n">
        <v>46229</v>
      </c>
      <c r="D168" s="35" t="s">
        <v>46</v>
      </c>
      <c r="E168" s="35" t="s">
        <v>34</v>
      </c>
      <c r="F168" s="35" t="s">
        <v>15</v>
      </c>
      <c r="G168" s="35"/>
      <c r="H168" s="37" t="n">
        <f aca="false">IFERROR(VLOOKUP(D168,Settings!$A$5:$C$14,3,FALSE()),"")</f>
        <v>3</v>
      </c>
      <c r="I168" s="37" t="n">
        <f aca="false">IF(C168="","",C168-B168)</f>
        <v>4</v>
      </c>
      <c r="J168" s="38" t="str">
        <f aca="false">IF(I168="","",IF(I168&gt;H168,"Delayed","On Time"))</f>
        <v>Delayed</v>
      </c>
      <c r="K168" s="37" t="n">
        <f aca="false">IF(J168="Delayed",I168-H168,"")</f>
        <v>1</v>
      </c>
    </row>
    <row r="169" customFormat="false" ht="15" hidden="false" customHeight="false" outlineLevel="0" collapsed="false">
      <c r="A169" s="35" t="s">
        <v>233</v>
      </c>
      <c r="B169" s="36" t="n">
        <v>46225</v>
      </c>
      <c r="C169" s="36" t="n">
        <v>46234</v>
      </c>
      <c r="D169" s="35" t="s">
        <v>56</v>
      </c>
      <c r="E169" s="35" t="s">
        <v>33</v>
      </c>
      <c r="F169" s="35" t="s">
        <v>15</v>
      </c>
      <c r="G169" s="35"/>
      <c r="H169" s="37" t="n">
        <f aca="false">IFERROR(VLOOKUP(D169,Settings!$A$5:$C$14,3,FALSE()),"")</f>
        <v>6</v>
      </c>
      <c r="I169" s="37" t="n">
        <f aca="false">IF(C169="","",C169-B169)</f>
        <v>9</v>
      </c>
      <c r="J169" s="38" t="str">
        <f aca="false">IF(I169="","",IF(I169&gt;H169,"Delayed","On Time"))</f>
        <v>Delayed</v>
      </c>
      <c r="K169" s="37" t="n">
        <f aca="false">IF(J169="Delayed",I169-H169,"")</f>
        <v>3</v>
      </c>
    </row>
    <row r="170" customFormat="false" ht="15" hidden="false" customHeight="false" outlineLevel="0" collapsed="false">
      <c r="A170" s="35" t="s">
        <v>234</v>
      </c>
      <c r="B170" s="36" t="n">
        <v>46225</v>
      </c>
      <c r="C170" s="36" t="n">
        <v>46226</v>
      </c>
      <c r="D170" s="35" t="s">
        <v>44</v>
      </c>
      <c r="E170" s="35" t="s">
        <v>33</v>
      </c>
      <c r="F170" s="35" t="s">
        <v>15</v>
      </c>
      <c r="G170" s="35"/>
      <c r="H170" s="37" t="n">
        <f aca="false">IFERROR(VLOOKUP(D170,Settings!$A$5:$C$14,3,FALSE()),"")</f>
        <v>3</v>
      </c>
      <c r="I170" s="37" t="n">
        <f aca="false">IF(C170="","",C170-B170)</f>
        <v>1</v>
      </c>
      <c r="J170" s="38" t="str">
        <f aca="false">IF(I170="","",IF(I170&gt;H170,"Delayed","On Time"))</f>
        <v>On Time</v>
      </c>
      <c r="K170" s="37" t="str">
        <f aca="false">IF(J170="Delayed",I170-H170,"")</f>
        <v/>
      </c>
    </row>
    <row r="171" customFormat="false" ht="15" hidden="false" customHeight="false" outlineLevel="0" collapsed="false">
      <c r="A171" s="35" t="s">
        <v>235</v>
      </c>
      <c r="B171" s="36" t="n">
        <v>46225</v>
      </c>
      <c r="C171" s="36" t="n">
        <v>46227</v>
      </c>
      <c r="D171" s="35" t="s">
        <v>46</v>
      </c>
      <c r="E171" s="35" t="s">
        <v>34</v>
      </c>
      <c r="F171" s="35" t="s">
        <v>17</v>
      </c>
      <c r="G171" s="35" t="s">
        <v>43</v>
      </c>
      <c r="H171" s="37" t="n">
        <f aca="false">IFERROR(VLOOKUP(D171,Settings!$A$5:$C$14,3,FALSE()),"")</f>
        <v>3</v>
      </c>
      <c r="I171" s="37" t="n">
        <f aca="false">IF(C171="","",C171-B171)</f>
        <v>2</v>
      </c>
      <c r="J171" s="38" t="str">
        <f aca="false">IF(I171="","",IF(I171&gt;H171,"Delayed","On Time"))</f>
        <v>On Time</v>
      </c>
      <c r="K171" s="37" t="str">
        <f aca="false">IF(J171="Delayed",I171-H171,"")</f>
        <v/>
      </c>
    </row>
    <row r="172" customFormat="false" ht="15" hidden="false" customHeight="false" outlineLevel="0" collapsed="false">
      <c r="A172" s="35" t="s">
        <v>236</v>
      </c>
      <c r="B172" s="36" t="n">
        <v>46225</v>
      </c>
      <c r="C172" s="36" t="n">
        <v>46227</v>
      </c>
      <c r="D172" s="35" t="s">
        <v>50</v>
      </c>
      <c r="E172" s="35" t="s">
        <v>34</v>
      </c>
      <c r="F172" s="35" t="s">
        <v>15</v>
      </c>
      <c r="G172" s="35"/>
      <c r="H172" s="37" t="n">
        <f aca="false">IFERROR(VLOOKUP(D172,Settings!$A$5:$C$14,3,FALSE()),"")</f>
        <v>3</v>
      </c>
      <c r="I172" s="37" t="n">
        <f aca="false">IF(C172="","",C172-B172)</f>
        <v>2</v>
      </c>
      <c r="J172" s="38" t="str">
        <f aca="false">IF(I172="","",IF(I172&gt;H172,"Delayed","On Time"))</f>
        <v>On Time</v>
      </c>
      <c r="K172" s="37" t="str">
        <f aca="false">IF(J172="Delayed",I172-H172,"")</f>
        <v/>
      </c>
    </row>
    <row r="173" customFormat="false" ht="15" hidden="false" customHeight="false" outlineLevel="0" collapsed="false">
      <c r="A173" s="35" t="s">
        <v>237</v>
      </c>
      <c r="B173" s="36" t="n">
        <v>46225</v>
      </c>
      <c r="C173" s="36" t="n">
        <v>46230</v>
      </c>
      <c r="D173" s="35" t="s">
        <v>48</v>
      </c>
      <c r="E173" s="35" t="s">
        <v>35</v>
      </c>
      <c r="F173" s="35" t="s">
        <v>15</v>
      </c>
      <c r="G173" s="35"/>
      <c r="H173" s="37" t="n">
        <f aca="false">IFERROR(VLOOKUP(D173,Settings!$A$5:$C$14,3,FALSE()),"")</f>
        <v>3</v>
      </c>
      <c r="I173" s="37" t="n">
        <f aca="false">IF(C173="","",C173-B173)</f>
        <v>5</v>
      </c>
      <c r="J173" s="38" t="str">
        <f aca="false">IF(I173="","",IF(I173&gt;H173,"Delayed","On Time"))</f>
        <v>Delayed</v>
      </c>
      <c r="K173" s="37" t="n">
        <f aca="false">IF(J173="Delayed",I173-H173,"")</f>
        <v>2</v>
      </c>
    </row>
    <row r="174" customFormat="false" ht="15" hidden="false" customHeight="false" outlineLevel="0" collapsed="false">
      <c r="A174" s="35" t="s">
        <v>238</v>
      </c>
      <c r="B174" s="36" t="n">
        <v>46225</v>
      </c>
      <c r="C174" s="36" t="n">
        <v>46228</v>
      </c>
      <c r="D174" s="35" t="s">
        <v>44</v>
      </c>
      <c r="E174" s="35" t="s">
        <v>35</v>
      </c>
      <c r="F174" s="35" t="s">
        <v>15</v>
      </c>
      <c r="G174" s="35"/>
      <c r="H174" s="37" t="n">
        <f aca="false">IFERROR(VLOOKUP(D174,Settings!$A$5:$C$14,3,FALSE()),"")</f>
        <v>3</v>
      </c>
      <c r="I174" s="37" t="n">
        <f aca="false">IF(C174="","",C174-B174)</f>
        <v>3</v>
      </c>
      <c r="J174" s="38" t="str">
        <f aca="false">IF(I174="","",IF(I174&gt;H174,"Delayed","On Time"))</f>
        <v>On Time</v>
      </c>
      <c r="K174" s="37" t="str">
        <f aca="false">IF(J174="Delayed",I174-H174,"")</f>
        <v/>
      </c>
    </row>
    <row r="175" customFormat="false" ht="15" hidden="false" customHeight="false" outlineLevel="0" collapsed="false">
      <c r="A175" s="35" t="s">
        <v>239</v>
      </c>
      <c r="B175" s="36" t="n">
        <v>46225</v>
      </c>
      <c r="C175" s="36" t="n">
        <v>46226</v>
      </c>
      <c r="D175" s="35" t="s">
        <v>46</v>
      </c>
      <c r="E175" s="35" t="s">
        <v>34</v>
      </c>
      <c r="F175" s="35" t="s">
        <v>15</v>
      </c>
      <c r="G175" s="35"/>
      <c r="H175" s="37" t="n">
        <f aca="false">IFERROR(VLOOKUP(D175,Settings!$A$5:$C$14,3,FALSE()),"")</f>
        <v>3</v>
      </c>
      <c r="I175" s="37" t="n">
        <f aca="false">IF(C175="","",C175-B175)</f>
        <v>1</v>
      </c>
      <c r="J175" s="38" t="str">
        <f aca="false">IF(I175="","",IF(I175&gt;H175,"Delayed","On Time"))</f>
        <v>On Time</v>
      </c>
      <c r="K175" s="37" t="str">
        <f aca="false">IF(J175="Delayed",I175-H175,"")</f>
        <v/>
      </c>
    </row>
    <row r="176" customFormat="false" ht="15" hidden="false" customHeight="false" outlineLevel="0" collapsed="false">
      <c r="A176" s="35" t="s">
        <v>240</v>
      </c>
      <c r="B176" s="36" t="n">
        <v>46225</v>
      </c>
      <c r="C176" s="36" t="n">
        <v>46231</v>
      </c>
      <c r="D176" s="35" t="s">
        <v>52</v>
      </c>
      <c r="E176" s="35" t="s">
        <v>35</v>
      </c>
      <c r="F176" s="35" t="s">
        <v>15</v>
      </c>
      <c r="G176" s="35"/>
      <c r="H176" s="37" t="n">
        <f aca="false">IFERROR(VLOOKUP(D176,Settings!$A$5:$C$14,3,FALSE()),"")</f>
        <v>4</v>
      </c>
      <c r="I176" s="37" t="n">
        <f aca="false">IF(C176="","",C176-B176)</f>
        <v>6</v>
      </c>
      <c r="J176" s="38" t="str">
        <f aca="false">IF(I176="","",IF(I176&gt;H176,"Delayed","On Time"))</f>
        <v>Delayed</v>
      </c>
      <c r="K176" s="37" t="n">
        <f aca="false">IF(J176="Delayed",I176-H176,"")</f>
        <v>2</v>
      </c>
    </row>
    <row r="177" customFormat="false" ht="15" hidden="false" customHeight="false" outlineLevel="0" collapsed="false">
      <c r="A177" s="35" t="s">
        <v>241</v>
      </c>
      <c r="B177" s="36" t="n">
        <v>46226</v>
      </c>
      <c r="C177" s="36" t="n">
        <v>46229</v>
      </c>
      <c r="D177" s="35" t="s">
        <v>46</v>
      </c>
      <c r="E177" s="35" t="s">
        <v>36</v>
      </c>
      <c r="F177" s="35" t="s">
        <v>17</v>
      </c>
      <c r="G177" s="35" t="s">
        <v>51</v>
      </c>
      <c r="H177" s="37" t="n">
        <f aca="false">IFERROR(VLOOKUP(D177,Settings!$A$5:$C$14,3,FALSE()),"")</f>
        <v>3</v>
      </c>
      <c r="I177" s="37" t="n">
        <f aca="false">IF(C177="","",C177-B177)</f>
        <v>3</v>
      </c>
      <c r="J177" s="38" t="str">
        <f aca="false">IF(I177="","",IF(I177&gt;H177,"Delayed","On Time"))</f>
        <v>On Time</v>
      </c>
      <c r="K177" s="37" t="str">
        <f aca="false">IF(J177="Delayed",I177-H177,"")</f>
        <v/>
      </c>
    </row>
    <row r="178" customFormat="false" ht="15" hidden="false" customHeight="false" outlineLevel="0" collapsed="false">
      <c r="A178" s="35" t="s">
        <v>242</v>
      </c>
      <c r="B178" s="36" t="n">
        <v>46226</v>
      </c>
      <c r="C178" s="36" t="n">
        <v>46229</v>
      </c>
      <c r="D178" s="35" t="s">
        <v>48</v>
      </c>
      <c r="E178" s="35" t="s">
        <v>34</v>
      </c>
      <c r="F178" s="35" t="s">
        <v>15</v>
      </c>
      <c r="G178" s="35"/>
      <c r="H178" s="37" t="n">
        <f aca="false">IFERROR(VLOOKUP(D178,Settings!$A$5:$C$14,3,FALSE()),"")</f>
        <v>3</v>
      </c>
      <c r="I178" s="37" t="n">
        <f aca="false">IF(C178="","",C178-B178)</f>
        <v>3</v>
      </c>
      <c r="J178" s="38" t="str">
        <f aca="false">IF(I178="","",IF(I178&gt;H178,"Delayed","On Time"))</f>
        <v>On Time</v>
      </c>
      <c r="K178" s="37" t="str">
        <f aca="false">IF(J178="Delayed",I178-H178,"")</f>
        <v/>
      </c>
    </row>
    <row r="179" customFormat="false" ht="15" hidden="false" customHeight="false" outlineLevel="0" collapsed="false">
      <c r="A179" s="35" t="s">
        <v>243</v>
      </c>
      <c r="B179" s="36" t="n">
        <v>46226</v>
      </c>
      <c r="C179" s="36" t="n">
        <v>46231</v>
      </c>
      <c r="D179" s="35" t="s">
        <v>54</v>
      </c>
      <c r="E179" s="35" t="s">
        <v>34</v>
      </c>
      <c r="F179" s="35" t="s">
        <v>15</v>
      </c>
      <c r="G179" s="35"/>
      <c r="H179" s="37" t="n">
        <f aca="false">IFERROR(VLOOKUP(D179,Settings!$A$5:$C$14,3,FALSE()),"")</f>
        <v>5</v>
      </c>
      <c r="I179" s="37" t="n">
        <f aca="false">IF(C179="","",C179-B179)</f>
        <v>5</v>
      </c>
      <c r="J179" s="38" t="str">
        <f aca="false">IF(I179="","",IF(I179&gt;H179,"Delayed","On Time"))</f>
        <v>On Time</v>
      </c>
      <c r="K179" s="37" t="str">
        <f aca="false">IF(J179="Delayed",I179-H179,"")</f>
        <v/>
      </c>
    </row>
    <row r="180" customFormat="false" ht="15" hidden="false" customHeight="false" outlineLevel="0" collapsed="false">
      <c r="A180" s="35" t="s">
        <v>244</v>
      </c>
      <c r="B180" s="36" t="n">
        <v>46226</v>
      </c>
      <c r="C180" s="36" t="n">
        <v>46229</v>
      </c>
      <c r="D180" s="35" t="s">
        <v>44</v>
      </c>
      <c r="E180" s="35" t="s">
        <v>34</v>
      </c>
      <c r="F180" s="35" t="s">
        <v>15</v>
      </c>
      <c r="G180" s="35"/>
      <c r="H180" s="37" t="n">
        <f aca="false">IFERROR(VLOOKUP(D180,Settings!$A$5:$C$14,3,FALSE()),"")</f>
        <v>3</v>
      </c>
      <c r="I180" s="37" t="n">
        <f aca="false">IF(C180="","",C180-B180)</f>
        <v>3</v>
      </c>
      <c r="J180" s="38" t="str">
        <f aca="false">IF(I180="","",IF(I180&gt;H180,"Delayed","On Time"))</f>
        <v>On Time</v>
      </c>
      <c r="K180" s="37" t="str">
        <f aca="false">IF(J180="Delayed",I180-H180,"")</f>
        <v/>
      </c>
    </row>
    <row r="181" customFormat="false" ht="15" hidden="false" customHeight="false" outlineLevel="0" collapsed="false">
      <c r="A181" s="35" t="s">
        <v>245</v>
      </c>
      <c r="B181" s="36" t="n">
        <v>46227</v>
      </c>
      <c r="C181" s="36" t="n">
        <v>46229</v>
      </c>
      <c r="D181" s="35" t="s">
        <v>50</v>
      </c>
      <c r="E181" s="35" t="s">
        <v>34</v>
      </c>
      <c r="F181" s="35" t="s">
        <v>15</v>
      </c>
      <c r="G181" s="35"/>
      <c r="H181" s="37" t="n">
        <f aca="false">IFERROR(VLOOKUP(D181,Settings!$A$5:$C$14,3,FALSE()),"")</f>
        <v>3</v>
      </c>
      <c r="I181" s="37" t="n">
        <f aca="false">IF(C181="","",C181-B181)</f>
        <v>2</v>
      </c>
      <c r="J181" s="38" t="str">
        <f aca="false">IF(I181="","",IF(I181&gt;H181,"Delayed","On Time"))</f>
        <v>On Time</v>
      </c>
      <c r="K181" s="37" t="str">
        <f aca="false">IF(J181="Delayed",I181-H181,"")</f>
        <v/>
      </c>
    </row>
    <row r="182" customFormat="false" ht="15" hidden="false" customHeight="false" outlineLevel="0" collapsed="false">
      <c r="A182" s="35" t="s">
        <v>246</v>
      </c>
      <c r="B182" s="36" t="n">
        <v>46227</v>
      </c>
      <c r="C182" s="36" t="n">
        <v>46229</v>
      </c>
      <c r="D182" s="35" t="s">
        <v>50</v>
      </c>
      <c r="E182" s="35" t="s">
        <v>36</v>
      </c>
      <c r="F182" s="35" t="s">
        <v>15</v>
      </c>
      <c r="G182" s="35"/>
      <c r="H182" s="37" t="n">
        <f aca="false">IFERROR(VLOOKUP(D182,Settings!$A$5:$C$14,3,FALSE()),"")</f>
        <v>3</v>
      </c>
      <c r="I182" s="37" t="n">
        <f aca="false">IF(C182="","",C182-B182)</f>
        <v>2</v>
      </c>
      <c r="J182" s="38" t="str">
        <f aca="false">IF(I182="","",IF(I182&gt;H182,"Delayed","On Time"))</f>
        <v>On Time</v>
      </c>
      <c r="K182" s="37" t="str">
        <f aca="false">IF(J182="Delayed",I182-H182,"")</f>
        <v/>
      </c>
    </row>
    <row r="183" customFormat="false" ht="15" hidden="false" customHeight="false" outlineLevel="0" collapsed="false">
      <c r="A183" s="35" t="s">
        <v>247</v>
      </c>
      <c r="B183" s="36" t="n">
        <v>46227</v>
      </c>
      <c r="C183" s="36" t="n">
        <v>46233</v>
      </c>
      <c r="D183" s="35" t="s">
        <v>56</v>
      </c>
      <c r="E183" s="35" t="s">
        <v>35</v>
      </c>
      <c r="F183" s="35" t="s">
        <v>15</v>
      </c>
      <c r="G183" s="35"/>
      <c r="H183" s="37" t="n">
        <f aca="false">IFERROR(VLOOKUP(D183,Settings!$A$5:$C$14,3,FALSE()),"")</f>
        <v>6</v>
      </c>
      <c r="I183" s="37" t="n">
        <f aca="false">IF(C183="","",C183-B183)</f>
        <v>6</v>
      </c>
      <c r="J183" s="38" t="str">
        <f aca="false">IF(I183="","",IF(I183&gt;H183,"Delayed","On Time"))</f>
        <v>On Time</v>
      </c>
      <c r="K183" s="37" t="str">
        <f aca="false">IF(J183="Delayed",I183-H183,"")</f>
        <v/>
      </c>
    </row>
    <row r="184" customFormat="false" ht="15" hidden="false" customHeight="false" outlineLevel="0" collapsed="false">
      <c r="A184" s="35" t="s">
        <v>248</v>
      </c>
      <c r="B184" s="36" t="n">
        <v>46227</v>
      </c>
      <c r="C184" s="36" t="n">
        <v>46230</v>
      </c>
      <c r="D184" s="35" t="s">
        <v>44</v>
      </c>
      <c r="E184" s="35" t="s">
        <v>36</v>
      </c>
      <c r="F184" s="35" t="s">
        <v>15</v>
      </c>
      <c r="G184" s="35"/>
      <c r="H184" s="37" t="n">
        <f aca="false">IFERROR(VLOOKUP(D184,Settings!$A$5:$C$14,3,FALSE()),"")</f>
        <v>3</v>
      </c>
      <c r="I184" s="37" t="n">
        <f aca="false">IF(C184="","",C184-B184)</f>
        <v>3</v>
      </c>
      <c r="J184" s="38" t="str">
        <f aca="false">IF(I184="","",IF(I184&gt;H184,"Delayed","On Time"))</f>
        <v>On Time</v>
      </c>
      <c r="K184" s="37" t="str">
        <f aca="false">IF(J184="Delayed",I184-H184,"")</f>
        <v/>
      </c>
    </row>
    <row r="185" customFormat="false" ht="15" hidden="false" customHeight="false" outlineLevel="0" collapsed="false">
      <c r="A185" s="35" t="s">
        <v>249</v>
      </c>
      <c r="B185" s="36" t="n">
        <v>46227</v>
      </c>
      <c r="C185" s="36" t="n">
        <v>46232</v>
      </c>
      <c r="D185" s="35" t="s">
        <v>48</v>
      </c>
      <c r="E185" s="35" t="s">
        <v>36</v>
      </c>
      <c r="F185" s="35" t="s">
        <v>15</v>
      </c>
      <c r="G185" s="35"/>
      <c r="H185" s="37" t="n">
        <f aca="false">IFERROR(VLOOKUP(D185,Settings!$A$5:$C$14,3,FALSE()),"")</f>
        <v>3</v>
      </c>
      <c r="I185" s="37" t="n">
        <f aca="false">IF(C185="","",C185-B185)</f>
        <v>5</v>
      </c>
      <c r="J185" s="38" t="str">
        <f aca="false">IF(I185="","",IF(I185&gt;H185,"Delayed","On Time"))</f>
        <v>Delayed</v>
      </c>
      <c r="K185" s="37" t="n">
        <f aca="false">IF(J185="Delayed",I185-H185,"")</f>
        <v>2</v>
      </c>
    </row>
    <row r="186" customFormat="false" ht="15" hidden="false" customHeight="false" outlineLevel="0" collapsed="false">
      <c r="A186" s="35" t="s">
        <v>250</v>
      </c>
      <c r="B186" s="36" t="n">
        <v>46227</v>
      </c>
      <c r="C186" s="36" t="n">
        <v>46231</v>
      </c>
      <c r="D186" s="35" t="s">
        <v>46</v>
      </c>
      <c r="E186" s="35" t="s">
        <v>35</v>
      </c>
      <c r="F186" s="35" t="s">
        <v>15</v>
      </c>
      <c r="G186" s="35"/>
      <c r="H186" s="37" t="n">
        <f aca="false">IFERROR(VLOOKUP(D186,Settings!$A$5:$C$14,3,FALSE()),"")</f>
        <v>3</v>
      </c>
      <c r="I186" s="37" t="n">
        <f aca="false">IF(C186="","",C186-B186)</f>
        <v>4</v>
      </c>
      <c r="J186" s="38" t="str">
        <f aca="false">IF(I186="","",IF(I186&gt;H186,"Delayed","On Time"))</f>
        <v>Delayed</v>
      </c>
      <c r="K186" s="37" t="n">
        <f aca="false">IF(J186="Delayed",I186-H186,"")</f>
        <v>1</v>
      </c>
    </row>
    <row r="187" customFormat="false" ht="15" hidden="false" customHeight="false" outlineLevel="0" collapsed="false">
      <c r="A187" s="35" t="s">
        <v>251</v>
      </c>
      <c r="B187" s="36" t="n">
        <v>46227</v>
      </c>
      <c r="C187" s="36" t="n">
        <v>46229</v>
      </c>
      <c r="D187" s="35" t="s">
        <v>50</v>
      </c>
      <c r="E187" s="35" t="s">
        <v>34</v>
      </c>
      <c r="F187" s="35" t="s">
        <v>15</v>
      </c>
      <c r="G187" s="35"/>
      <c r="H187" s="37" t="n">
        <f aca="false">IFERROR(VLOOKUP(D187,Settings!$A$5:$C$14,3,FALSE()),"")</f>
        <v>3</v>
      </c>
      <c r="I187" s="37" t="n">
        <f aca="false">IF(C187="","",C187-B187)</f>
        <v>2</v>
      </c>
      <c r="J187" s="38" t="str">
        <f aca="false">IF(I187="","",IF(I187&gt;H187,"Delayed","On Time"))</f>
        <v>On Time</v>
      </c>
      <c r="K187" s="37" t="str">
        <f aca="false">IF(J187="Delayed",I187-H187,"")</f>
        <v/>
      </c>
    </row>
    <row r="188" customFormat="false" ht="15" hidden="false" customHeight="false" outlineLevel="0" collapsed="false">
      <c r="A188" s="35" t="s">
        <v>252</v>
      </c>
      <c r="B188" s="36" t="n">
        <v>46228</v>
      </c>
      <c r="C188" s="36" t="n">
        <v>46232</v>
      </c>
      <c r="D188" s="35" t="s">
        <v>53</v>
      </c>
      <c r="E188" s="35" t="s">
        <v>36</v>
      </c>
      <c r="F188" s="35" t="s">
        <v>15</v>
      </c>
      <c r="G188" s="35"/>
      <c r="H188" s="37" t="n">
        <f aca="false">IFERROR(VLOOKUP(D188,Settings!$A$5:$C$14,3,FALSE()),"")</f>
        <v>5</v>
      </c>
      <c r="I188" s="37" t="n">
        <f aca="false">IF(C188="","",C188-B188)</f>
        <v>4</v>
      </c>
      <c r="J188" s="38" t="str">
        <f aca="false">IF(I188="","",IF(I188&gt;H188,"Delayed","On Time"))</f>
        <v>On Time</v>
      </c>
      <c r="K188" s="37" t="str">
        <f aca="false">IF(J188="Delayed",I188-H188,"")</f>
        <v/>
      </c>
    </row>
    <row r="189" customFormat="false" ht="15" hidden="false" customHeight="false" outlineLevel="0" collapsed="false">
      <c r="A189" s="35" t="s">
        <v>253</v>
      </c>
      <c r="B189" s="36" t="n">
        <v>46228</v>
      </c>
      <c r="C189" s="36" t="n">
        <v>46230</v>
      </c>
      <c r="D189" s="35" t="s">
        <v>44</v>
      </c>
      <c r="E189" s="35" t="s">
        <v>33</v>
      </c>
      <c r="F189" s="35" t="s">
        <v>15</v>
      </c>
      <c r="G189" s="35"/>
      <c r="H189" s="37" t="n">
        <f aca="false">IFERROR(VLOOKUP(D189,Settings!$A$5:$C$14,3,FALSE()),"")</f>
        <v>3</v>
      </c>
      <c r="I189" s="37" t="n">
        <f aca="false">IF(C189="","",C189-B189)</f>
        <v>2</v>
      </c>
      <c r="J189" s="38" t="str">
        <f aca="false">IF(I189="","",IF(I189&gt;H189,"Delayed","On Time"))</f>
        <v>On Time</v>
      </c>
      <c r="K189" s="37" t="str">
        <f aca="false">IF(J189="Delayed",I189-H189,"")</f>
        <v/>
      </c>
    </row>
    <row r="190" customFormat="false" ht="15" hidden="false" customHeight="false" outlineLevel="0" collapsed="false">
      <c r="A190" s="35" t="s">
        <v>254</v>
      </c>
      <c r="B190" s="36" t="n">
        <v>46228</v>
      </c>
      <c r="C190" s="36" t="n">
        <v>46236</v>
      </c>
      <c r="D190" s="35" t="s">
        <v>54</v>
      </c>
      <c r="E190" s="35" t="s">
        <v>35</v>
      </c>
      <c r="F190" s="35" t="s">
        <v>15</v>
      </c>
      <c r="G190" s="35"/>
      <c r="H190" s="37" t="n">
        <f aca="false">IFERROR(VLOOKUP(D190,Settings!$A$5:$C$14,3,FALSE()),"")</f>
        <v>5</v>
      </c>
      <c r="I190" s="37" t="n">
        <f aca="false">IF(C190="","",C190-B190)</f>
        <v>8</v>
      </c>
      <c r="J190" s="38" t="str">
        <f aca="false">IF(I190="","",IF(I190&gt;H190,"Delayed","On Time"))</f>
        <v>Delayed</v>
      </c>
      <c r="K190" s="37" t="n">
        <f aca="false">IF(J190="Delayed",I190-H190,"")</f>
        <v>3</v>
      </c>
    </row>
    <row r="191" customFormat="false" ht="15" hidden="false" customHeight="false" outlineLevel="0" collapsed="false">
      <c r="A191" s="35" t="s">
        <v>255</v>
      </c>
      <c r="B191" s="36" t="n">
        <v>46228</v>
      </c>
      <c r="C191" s="36" t="n">
        <v>46231</v>
      </c>
      <c r="D191" s="35" t="s">
        <v>44</v>
      </c>
      <c r="E191" s="35" t="s">
        <v>33</v>
      </c>
      <c r="F191" s="35" t="s">
        <v>15</v>
      </c>
      <c r="G191" s="35"/>
      <c r="H191" s="37" t="n">
        <f aca="false">IFERROR(VLOOKUP(D191,Settings!$A$5:$C$14,3,FALSE()),"")</f>
        <v>3</v>
      </c>
      <c r="I191" s="37" t="n">
        <f aca="false">IF(C191="","",C191-B191)</f>
        <v>3</v>
      </c>
      <c r="J191" s="38" t="str">
        <f aca="false">IF(I191="","",IF(I191&gt;H191,"Delayed","On Time"))</f>
        <v>On Time</v>
      </c>
      <c r="K191" s="37" t="str">
        <f aca="false">IF(J191="Delayed",I191-H191,"")</f>
        <v/>
      </c>
    </row>
    <row r="192" customFormat="false" ht="15" hidden="false" customHeight="false" outlineLevel="0" collapsed="false">
      <c r="A192" s="35" t="s">
        <v>256</v>
      </c>
      <c r="B192" s="36" t="n">
        <v>46228</v>
      </c>
      <c r="C192" s="36" t="n">
        <v>46230</v>
      </c>
      <c r="D192" s="35" t="s">
        <v>48</v>
      </c>
      <c r="E192" s="35" t="s">
        <v>34</v>
      </c>
      <c r="F192" s="35" t="s">
        <v>15</v>
      </c>
      <c r="G192" s="35"/>
      <c r="H192" s="37" t="n">
        <f aca="false">IFERROR(VLOOKUP(D192,Settings!$A$5:$C$14,3,FALSE()),"")</f>
        <v>3</v>
      </c>
      <c r="I192" s="37" t="n">
        <f aca="false">IF(C192="","",C192-B192)</f>
        <v>2</v>
      </c>
      <c r="J192" s="38" t="str">
        <f aca="false">IF(I192="","",IF(I192&gt;H192,"Delayed","On Time"))</f>
        <v>On Time</v>
      </c>
      <c r="K192" s="37" t="str">
        <f aca="false">IF(J192="Delayed",I192-H192,"")</f>
        <v/>
      </c>
    </row>
    <row r="193" customFormat="false" ht="15" hidden="false" customHeight="false" outlineLevel="0" collapsed="false">
      <c r="A193" s="35" t="s">
        <v>257</v>
      </c>
      <c r="B193" s="36" t="n">
        <v>46228</v>
      </c>
      <c r="C193" s="36" t="n">
        <v>46229</v>
      </c>
      <c r="D193" s="35" t="s">
        <v>46</v>
      </c>
      <c r="E193" s="35" t="s">
        <v>33</v>
      </c>
      <c r="F193" s="35" t="s">
        <v>15</v>
      </c>
      <c r="G193" s="35"/>
      <c r="H193" s="37" t="n">
        <f aca="false">IFERROR(VLOOKUP(D193,Settings!$A$5:$C$14,3,FALSE()),"")</f>
        <v>3</v>
      </c>
      <c r="I193" s="37" t="n">
        <f aca="false">IF(C193="","",C193-B193)</f>
        <v>1</v>
      </c>
      <c r="J193" s="38" t="str">
        <f aca="false">IF(I193="","",IF(I193&gt;H193,"Delayed","On Time"))</f>
        <v>On Time</v>
      </c>
      <c r="K193" s="37" t="str">
        <f aca="false">IF(J193="Delayed",I193-H193,"")</f>
        <v/>
      </c>
    </row>
    <row r="194" customFormat="false" ht="15" hidden="false" customHeight="false" outlineLevel="0" collapsed="false">
      <c r="A194" s="35" t="s">
        <v>258</v>
      </c>
      <c r="B194" s="36" t="n">
        <v>46228</v>
      </c>
      <c r="C194" s="36" t="n">
        <v>46232</v>
      </c>
      <c r="D194" s="35" t="s">
        <v>50</v>
      </c>
      <c r="E194" s="35" t="s">
        <v>33</v>
      </c>
      <c r="F194" s="35" t="s">
        <v>15</v>
      </c>
      <c r="G194" s="35"/>
      <c r="H194" s="37" t="n">
        <f aca="false">IFERROR(VLOOKUP(D194,Settings!$A$5:$C$14,3,FALSE()),"")</f>
        <v>3</v>
      </c>
      <c r="I194" s="37" t="n">
        <f aca="false">IF(C194="","",C194-B194)</f>
        <v>4</v>
      </c>
      <c r="J194" s="38" t="str">
        <f aca="false">IF(I194="","",IF(I194&gt;H194,"Delayed","On Time"))</f>
        <v>Delayed</v>
      </c>
      <c r="K194" s="37" t="n">
        <f aca="false">IF(J194="Delayed",I194-H194,"")</f>
        <v>1</v>
      </c>
    </row>
    <row r="195" customFormat="false" ht="15" hidden="false" customHeight="false" outlineLevel="0" collapsed="false">
      <c r="A195" s="35" t="s">
        <v>259</v>
      </c>
      <c r="B195" s="36" t="n">
        <v>46229</v>
      </c>
      <c r="C195" s="36" t="n">
        <v>46236</v>
      </c>
      <c r="D195" s="35" t="s">
        <v>54</v>
      </c>
      <c r="E195" s="35" t="s">
        <v>36</v>
      </c>
      <c r="F195" s="35" t="s">
        <v>15</v>
      </c>
      <c r="G195" s="35"/>
      <c r="H195" s="37" t="n">
        <f aca="false">IFERROR(VLOOKUP(D195,Settings!$A$5:$C$14,3,FALSE()),"")</f>
        <v>5</v>
      </c>
      <c r="I195" s="37" t="n">
        <f aca="false">IF(C195="","",C195-B195)</f>
        <v>7</v>
      </c>
      <c r="J195" s="38" t="str">
        <f aca="false">IF(I195="","",IF(I195&gt;H195,"Delayed","On Time"))</f>
        <v>Delayed</v>
      </c>
      <c r="K195" s="37" t="n">
        <f aca="false">IF(J195="Delayed",I195-H195,"")</f>
        <v>2</v>
      </c>
    </row>
    <row r="196" customFormat="false" ht="15" hidden="false" customHeight="false" outlineLevel="0" collapsed="false">
      <c r="A196" s="35" t="s">
        <v>260</v>
      </c>
      <c r="B196" s="36" t="n">
        <v>46229</v>
      </c>
      <c r="C196" s="36" t="n">
        <v>46232</v>
      </c>
      <c r="D196" s="35" t="s">
        <v>46</v>
      </c>
      <c r="E196" s="35" t="s">
        <v>36</v>
      </c>
      <c r="F196" s="35" t="s">
        <v>15</v>
      </c>
      <c r="G196" s="35"/>
      <c r="H196" s="37" t="n">
        <f aca="false">IFERROR(VLOOKUP(D196,Settings!$A$5:$C$14,3,FALSE()),"")</f>
        <v>3</v>
      </c>
      <c r="I196" s="37" t="n">
        <f aca="false">IF(C196="","",C196-B196)</f>
        <v>3</v>
      </c>
      <c r="J196" s="38" t="str">
        <f aca="false">IF(I196="","",IF(I196&gt;H196,"Delayed","On Time"))</f>
        <v>On Time</v>
      </c>
      <c r="K196" s="37" t="str">
        <f aca="false">IF(J196="Delayed",I196-H196,"")</f>
        <v/>
      </c>
    </row>
    <row r="197" customFormat="false" ht="15" hidden="false" customHeight="false" outlineLevel="0" collapsed="false">
      <c r="A197" s="35" t="s">
        <v>261</v>
      </c>
      <c r="B197" s="36" t="n">
        <v>46229</v>
      </c>
      <c r="C197" s="36" t="n">
        <v>46232</v>
      </c>
      <c r="D197" s="35" t="s">
        <v>48</v>
      </c>
      <c r="E197" s="35" t="s">
        <v>33</v>
      </c>
      <c r="F197" s="35" t="s">
        <v>15</v>
      </c>
      <c r="G197" s="35"/>
      <c r="H197" s="37" t="n">
        <f aca="false">IFERROR(VLOOKUP(D197,Settings!$A$5:$C$14,3,FALSE()),"")</f>
        <v>3</v>
      </c>
      <c r="I197" s="37" t="n">
        <f aca="false">IF(C197="","",C197-B197)</f>
        <v>3</v>
      </c>
      <c r="J197" s="38" t="str">
        <f aca="false">IF(I197="","",IF(I197&gt;H197,"Delayed","On Time"))</f>
        <v>On Time</v>
      </c>
      <c r="K197" s="37" t="str">
        <f aca="false">IF(J197="Delayed",I197-H197,"")</f>
        <v/>
      </c>
    </row>
    <row r="198" customFormat="false" ht="15" hidden="false" customHeight="false" outlineLevel="0" collapsed="false">
      <c r="A198" s="35" t="s">
        <v>262</v>
      </c>
      <c r="B198" s="36" t="n">
        <v>46229</v>
      </c>
      <c r="C198" s="36" t="n">
        <v>46233</v>
      </c>
      <c r="D198" s="35" t="s">
        <v>53</v>
      </c>
      <c r="E198" s="35" t="s">
        <v>34</v>
      </c>
      <c r="F198" s="35" t="s">
        <v>15</v>
      </c>
      <c r="G198" s="35"/>
      <c r="H198" s="37" t="n">
        <f aca="false">IFERROR(VLOOKUP(D198,Settings!$A$5:$C$14,3,FALSE()),"")</f>
        <v>5</v>
      </c>
      <c r="I198" s="37" t="n">
        <f aca="false">IF(C198="","",C198-B198)</f>
        <v>4</v>
      </c>
      <c r="J198" s="38" t="str">
        <f aca="false">IF(I198="","",IF(I198&gt;H198,"Delayed","On Time"))</f>
        <v>On Time</v>
      </c>
      <c r="K198" s="37" t="str">
        <f aca="false">IF(J198="Delayed",I198-H198,"")</f>
        <v/>
      </c>
    </row>
    <row r="199" customFormat="false" ht="15" hidden="false" customHeight="false" outlineLevel="0" collapsed="false">
      <c r="A199" s="35" t="s">
        <v>263</v>
      </c>
      <c r="B199" s="36" t="n">
        <v>46229</v>
      </c>
      <c r="C199" s="36" t="n">
        <v>46232</v>
      </c>
      <c r="D199" s="35" t="s">
        <v>46</v>
      </c>
      <c r="E199" s="35" t="s">
        <v>34</v>
      </c>
      <c r="F199" s="35" t="s">
        <v>15</v>
      </c>
      <c r="G199" s="35"/>
      <c r="H199" s="37" t="n">
        <f aca="false">IFERROR(VLOOKUP(D199,Settings!$A$5:$C$14,3,FALSE()),"")</f>
        <v>3</v>
      </c>
      <c r="I199" s="37" t="n">
        <f aca="false">IF(C199="","",C199-B199)</f>
        <v>3</v>
      </c>
      <c r="J199" s="38" t="str">
        <f aca="false">IF(I199="","",IF(I199&gt;H199,"Delayed","On Time"))</f>
        <v>On Time</v>
      </c>
      <c r="K199" s="37" t="str">
        <f aca="false">IF(J199="Delayed",I199-H199,"")</f>
        <v/>
      </c>
    </row>
    <row r="200" customFormat="false" ht="15" hidden="false" customHeight="false" outlineLevel="0" collapsed="false">
      <c r="A200" s="35" t="s">
        <v>264</v>
      </c>
      <c r="B200" s="36" t="n">
        <v>46229</v>
      </c>
      <c r="C200" s="36"/>
      <c r="D200" s="35" t="s">
        <v>48</v>
      </c>
      <c r="E200" s="35" t="s">
        <v>36</v>
      </c>
      <c r="F200" s="35" t="s">
        <v>18</v>
      </c>
      <c r="G200" s="35" t="s">
        <v>45</v>
      </c>
      <c r="H200" s="37" t="n">
        <f aca="false">IFERROR(VLOOKUP(D200,Settings!$A$5:$C$14,3,FALSE()),"")</f>
        <v>3</v>
      </c>
      <c r="I200" s="37" t="str">
        <f aca="false">IF(C200="","",C200-B200)</f>
        <v/>
      </c>
      <c r="J200" s="38" t="str">
        <f aca="false">IF(I200="","",IF(I200&gt;H200,"Delayed","On Time"))</f>
        <v/>
      </c>
      <c r="K200" s="37" t="str">
        <f aca="false">IF(J200="Delayed",I200-H200,"")</f>
        <v/>
      </c>
    </row>
    <row r="201" customFormat="false" ht="15" hidden="false" customHeight="false" outlineLevel="0" collapsed="false">
      <c r="A201" s="35" t="s">
        <v>265</v>
      </c>
      <c r="B201" s="36" t="n">
        <v>46229</v>
      </c>
      <c r="C201" s="36" t="n">
        <v>46231</v>
      </c>
      <c r="D201" s="35" t="s">
        <v>44</v>
      </c>
      <c r="E201" s="35" t="s">
        <v>35</v>
      </c>
      <c r="F201" s="35" t="s">
        <v>15</v>
      </c>
      <c r="G201" s="35"/>
      <c r="H201" s="37" t="n">
        <f aca="false">IFERROR(VLOOKUP(D201,Settings!$A$5:$C$14,3,FALSE()),"")</f>
        <v>3</v>
      </c>
      <c r="I201" s="37" t="n">
        <f aca="false">IF(C201="","",C201-B201)</f>
        <v>2</v>
      </c>
      <c r="J201" s="38" t="str">
        <f aca="false">IF(I201="","",IF(I201&gt;H201,"Delayed","On Time"))</f>
        <v>On Time</v>
      </c>
      <c r="K201" s="37" t="str">
        <f aca="false">IF(J201="Delayed",I201-H201,"")</f>
        <v/>
      </c>
    </row>
    <row r="202" customFormat="false" ht="15" hidden="false" customHeight="false" outlineLevel="0" collapsed="false">
      <c r="A202" s="35" t="s">
        <v>266</v>
      </c>
      <c r="B202" s="36" t="n">
        <v>46229</v>
      </c>
      <c r="C202" s="36" t="n">
        <v>46234</v>
      </c>
      <c r="D202" s="35" t="s">
        <v>53</v>
      </c>
      <c r="E202" s="35" t="s">
        <v>33</v>
      </c>
      <c r="F202" s="35" t="s">
        <v>15</v>
      </c>
      <c r="G202" s="35"/>
      <c r="H202" s="37" t="n">
        <f aca="false">IFERROR(VLOOKUP(D202,Settings!$A$5:$C$14,3,FALSE()),"")</f>
        <v>5</v>
      </c>
      <c r="I202" s="37" t="n">
        <f aca="false">IF(C202="","",C202-B202)</f>
        <v>5</v>
      </c>
      <c r="J202" s="38" t="str">
        <f aca="false">IF(I202="","",IF(I202&gt;H202,"Delayed","On Time"))</f>
        <v>On Time</v>
      </c>
      <c r="K202" s="37" t="str">
        <f aca="false">IF(J202="Delayed",I202-H202,"")</f>
        <v/>
      </c>
    </row>
    <row r="203" customFormat="false" ht="15" hidden="false" customHeight="false" outlineLevel="0" collapsed="false">
      <c r="A203" s="35" t="s">
        <v>267</v>
      </c>
      <c r="B203" s="36" t="n">
        <v>46229</v>
      </c>
      <c r="C203" s="36" t="n">
        <v>46234</v>
      </c>
      <c r="D203" s="35" t="s">
        <v>53</v>
      </c>
      <c r="E203" s="35" t="s">
        <v>34</v>
      </c>
      <c r="F203" s="35" t="s">
        <v>15</v>
      </c>
      <c r="G203" s="35"/>
      <c r="H203" s="37" t="n">
        <f aca="false">IFERROR(VLOOKUP(D203,Settings!$A$5:$C$14,3,FALSE()),"")</f>
        <v>5</v>
      </c>
      <c r="I203" s="37" t="n">
        <f aca="false">IF(C203="","",C203-B203)</f>
        <v>5</v>
      </c>
      <c r="J203" s="38" t="str">
        <f aca="false">IF(I203="","",IF(I203&gt;H203,"Delayed","On Time"))</f>
        <v>On Time</v>
      </c>
      <c r="K203" s="37" t="str">
        <f aca="false">IF(J203="Delayed",I203-H203,"")</f>
        <v/>
      </c>
    </row>
    <row r="204" customFormat="false" ht="15" hidden="false" customHeight="false" outlineLevel="0" collapsed="false">
      <c r="A204" s="35" t="s">
        <v>268</v>
      </c>
      <c r="B204" s="36" t="n">
        <v>46229</v>
      </c>
      <c r="C204" s="36" t="n">
        <v>46231</v>
      </c>
      <c r="D204" s="35" t="s">
        <v>46</v>
      </c>
      <c r="E204" s="35" t="s">
        <v>35</v>
      </c>
      <c r="F204" s="35" t="s">
        <v>15</v>
      </c>
      <c r="G204" s="35"/>
      <c r="H204" s="37" t="n">
        <f aca="false">IFERROR(VLOOKUP(D204,Settings!$A$5:$C$14,3,FALSE()),"")</f>
        <v>3</v>
      </c>
      <c r="I204" s="37" t="n">
        <f aca="false">IF(C204="","",C204-B204)</f>
        <v>2</v>
      </c>
      <c r="J204" s="38" t="str">
        <f aca="false">IF(I204="","",IF(I204&gt;H204,"Delayed","On Time"))</f>
        <v>On Time</v>
      </c>
      <c r="K204" s="37" t="str">
        <f aca="false">IF(J204="Delayed",I204-H204,"")</f>
        <v/>
      </c>
    </row>
    <row r="205" customFormat="false" ht="15" hidden="false" customHeight="false" outlineLevel="0" collapsed="false">
      <c r="A205" s="35" t="s">
        <v>269</v>
      </c>
      <c r="B205" s="36" t="n">
        <v>46230</v>
      </c>
      <c r="C205" s="36" t="n">
        <v>46233</v>
      </c>
      <c r="D205" s="35" t="s">
        <v>46</v>
      </c>
      <c r="E205" s="35" t="s">
        <v>35</v>
      </c>
      <c r="F205" s="35" t="s">
        <v>15</v>
      </c>
      <c r="G205" s="35"/>
      <c r="H205" s="37" t="n">
        <f aca="false">IFERROR(VLOOKUP(D205,Settings!$A$5:$C$14,3,FALSE()),"")</f>
        <v>3</v>
      </c>
      <c r="I205" s="37" t="n">
        <f aca="false">IF(C205="","",C205-B205)</f>
        <v>3</v>
      </c>
      <c r="J205" s="38" t="str">
        <f aca="false">IF(I205="","",IF(I205&gt;H205,"Delayed","On Time"))</f>
        <v>On Time</v>
      </c>
      <c r="K205" s="37" t="str">
        <f aca="false">IF(J205="Delayed",I205-H205,"")</f>
        <v/>
      </c>
    </row>
    <row r="206" customFormat="false" ht="15" hidden="false" customHeight="false" outlineLevel="0" collapsed="false">
      <c r="A206" s="35" t="s">
        <v>270</v>
      </c>
      <c r="B206" s="36" t="n">
        <v>46230</v>
      </c>
      <c r="C206" s="36" t="n">
        <v>46236</v>
      </c>
      <c r="D206" s="35" t="s">
        <v>55</v>
      </c>
      <c r="E206" s="35" t="s">
        <v>36</v>
      </c>
      <c r="F206" s="35" t="s">
        <v>15</v>
      </c>
      <c r="G206" s="35"/>
      <c r="H206" s="37" t="n">
        <f aca="false">IFERROR(VLOOKUP(D206,Settings!$A$5:$C$14,3,FALSE()),"")</f>
        <v>5</v>
      </c>
      <c r="I206" s="37" t="n">
        <f aca="false">IF(C206="","",C206-B206)</f>
        <v>6</v>
      </c>
      <c r="J206" s="38" t="str">
        <f aca="false">IF(I206="","",IF(I206&gt;H206,"Delayed","On Time"))</f>
        <v>Delayed</v>
      </c>
      <c r="K206" s="37" t="n">
        <f aca="false">IF(J206="Delayed",I206-H206,"")</f>
        <v>1</v>
      </c>
    </row>
    <row r="207" customFormat="false" ht="15" hidden="false" customHeight="false" outlineLevel="0" collapsed="false">
      <c r="A207" s="35" t="s">
        <v>271</v>
      </c>
      <c r="B207" s="36" t="n">
        <v>46230</v>
      </c>
      <c r="C207" s="36" t="n">
        <v>46234</v>
      </c>
      <c r="D207" s="35" t="s">
        <v>46</v>
      </c>
      <c r="E207" s="35" t="s">
        <v>36</v>
      </c>
      <c r="F207" s="35" t="s">
        <v>15</v>
      </c>
      <c r="G207" s="35"/>
      <c r="H207" s="37" t="n">
        <f aca="false">IFERROR(VLOOKUP(D207,Settings!$A$5:$C$14,3,FALSE()),"")</f>
        <v>3</v>
      </c>
      <c r="I207" s="37" t="n">
        <f aca="false">IF(C207="","",C207-B207)</f>
        <v>4</v>
      </c>
      <c r="J207" s="38" t="str">
        <f aca="false">IF(I207="","",IF(I207&gt;H207,"Delayed","On Time"))</f>
        <v>Delayed</v>
      </c>
      <c r="K207" s="37" t="n">
        <f aca="false">IF(J207="Delayed",I207-H207,"")</f>
        <v>1</v>
      </c>
    </row>
    <row r="208" customFormat="false" ht="15" hidden="false" customHeight="false" outlineLevel="0" collapsed="false">
      <c r="A208" s="35" t="s">
        <v>272</v>
      </c>
      <c r="B208" s="36" t="n">
        <v>46230</v>
      </c>
      <c r="C208" s="36" t="n">
        <v>46235</v>
      </c>
      <c r="D208" s="35" t="s">
        <v>54</v>
      </c>
      <c r="E208" s="35" t="s">
        <v>36</v>
      </c>
      <c r="F208" s="35" t="s">
        <v>15</v>
      </c>
      <c r="G208" s="35"/>
      <c r="H208" s="37" t="n">
        <f aca="false">IFERROR(VLOOKUP(D208,Settings!$A$5:$C$14,3,FALSE()),"")</f>
        <v>5</v>
      </c>
      <c r="I208" s="37" t="n">
        <f aca="false">IF(C208="","",C208-B208)</f>
        <v>5</v>
      </c>
      <c r="J208" s="38" t="str">
        <f aca="false">IF(I208="","",IF(I208&gt;H208,"Delayed","On Time"))</f>
        <v>On Time</v>
      </c>
      <c r="K208" s="37" t="str">
        <f aca="false">IF(J208="Delayed",I208-H208,"")</f>
        <v/>
      </c>
    </row>
    <row r="209" customFormat="false" ht="15" hidden="false" customHeight="false" outlineLevel="0" collapsed="false">
      <c r="A209" s="35" t="s">
        <v>273</v>
      </c>
      <c r="B209" s="36" t="n">
        <v>46230</v>
      </c>
      <c r="C209" s="36" t="n">
        <v>46236</v>
      </c>
      <c r="D209" s="35" t="s">
        <v>54</v>
      </c>
      <c r="E209" s="35" t="s">
        <v>34</v>
      </c>
      <c r="F209" s="35" t="s">
        <v>15</v>
      </c>
      <c r="G209" s="35"/>
      <c r="H209" s="37" t="n">
        <f aca="false">IFERROR(VLOOKUP(D209,Settings!$A$5:$C$14,3,FALSE()),"")</f>
        <v>5</v>
      </c>
      <c r="I209" s="37" t="n">
        <f aca="false">IF(C209="","",C209-B209)</f>
        <v>6</v>
      </c>
      <c r="J209" s="38" t="str">
        <f aca="false">IF(I209="","",IF(I209&gt;H209,"Delayed","On Time"))</f>
        <v>Delayed</v>
      </c>
      <c r="K209" s="37" t="n">
        <f aca="false">IF(J209="Delayed",I209-H209,"")</f>
        <v>1</v>
      </c>
    </row>
    <row r="210" customFormat="false" ht="15" hidden="false" customHeight="false" outlineLevel="0" collapsed="false">
      <c r="A210" s="35" t="s">
        <v>274</v>
      </c>
      <c r="B210" s="36" t="n">
        <v>46230</v>
      </c>
      <c r="C210" s="36" t="n">
        <v>46232</v>
      </c>
      <c r="D210" s="35" t="s">
        <v>46</v>
      </c>
      <c r="E210" s="35" t="s">
        <v>33</v>
      </c>
      <c r="F210" s="35" t="s">
        <v>15</v>
      </c>
      <c r="G210" s="35"/>
      <c r="H210" s="37" t="n">
        <f aca="false">IFERROR(VLOOKUP(D210,Settings!$A$5:$C$14,3,FALSE()),"")</f>
        <v>3</v>
      </c>
      <c r="I210" s="37" t="n">
        <f aca="false">IF(C210="","",C210-B210)</f>
        <v>2</v>
      </c>
      <c r="J210" s="38" t="str">
        <f aca="false">IF(I210="","",IF(I210&gt;H210,"Delayed","On Time"))</f>
        <v>On Time</v>
      </c>
      <c r="K210" s="37" t="str">
        <f aca="false">IF(J210="Delayed",I210-H210,"")</f>
        <v/>
      </c>
    </row>
    <row r="211" customFormat="false" ht="15" hidden="false" customHeight="false" outlineLevel="0" collapsed="false">
      <c r="A211" s="35" t="s">
        <v>275</v>
      </c>
      <c r="B211" s="36" t="n">
        <v>46230</v>
      </c>
      <c r="C211" s="36" t="n">
        <v>46234</v>
      </c>
      <c r="D211" s="35" t="s">
        <v>48</v>
      </c>
      <c r="E211" s="35" t="s">
        <v>35</v>
      </c>
      <c r="F211" s="35" t="s">
        <v>15</v>
      </c>
      <c r="G211" s="35"/>
      <c r="H211" s="37" t="n">
        <f aca="false">IFERROR(VLOOKUP(D211,Settings!$A$5:$C$14,3,FALSE()),"")</f>
        <v>3</v>
      </c>
      <c r="I211" s="37" t="n">
        <f aca="false">IF(C211="","",C211-B211)</f>
        <v>4</v>
      </c>
      <c r="J211" s="38" t="str">
        <f aca="false">IF(I211="","",IF(I211&gt;H211,"Delayed","On Time"))</f>
        <v>Delayed</v>
      </c>
      <c r="K211" s="37" t="n">
        <f aca="false">IF(J211="Delayed",I211-H211,"")</f>
        <v>1</v>
      </c>
    </row>
    <row r="212" customFormat="false" ht="15" hidden="false" customHeight="false" outlineLevel="0" collapsed="false">
      <c r="A212" s="35" t="s">
        <v>276</v>
      </c>
      <c r="B212" s="36" t="n">
        <v>46230</v>
      </c>
      <c r="C212" s="36" t="n">
        <v>46235</v>
      </c>
      <c r="D212" s="35" t="s">
        <v>53</v>
      </c>
      <c r="E212" s="35" t="s">
        <v>36</v>
      </c>
      <c r="F212" s="35" t="s">
        <v>15</v>
      </c>
      <c r="G212" s="35"/>
      <c r="H212" s="37" t="n">
        <f aca="false">IFERROR(VLOOKUP(D212,Settings!$A$5:$C$14,3,FALSE()),"")</f>
        <v>5</v>
      </c>
      <c r="I212" s="37" t="n">
        <f aca="false">IF(C212="","",C212-B212)</f>
        <v>5</v>
      </c>
      <c r="J212" s="38" t="str">
        <f aca="false">IF(I212="","",IF(I212&gt;H212,"Delayed","On Time"))</f>
        <v>On Time</v>
      </c>
      <c r="K212" s="37" t="str">
        <f aca="false">IF(J212="Delayed",I212-H212,"")</f>
        <v/>
      </c>
    </row>
    <row r="213" customFormat="false" ht="15" hidden="false" customHeight="false" outlineLevel="0" collapsed="false">
      <c r="A213" s="35" t="s">
        <v>277</v>
      </c>
      <c r="B213" s="36" t="n">
        <v>46230</v>
      </c>
      <c r="C213" s="36" t="n">
        <v>46235</v>
      </c>
      <c r="D213" s="35" t="s">
        <v>54</v>
      </c>
      <c r="E213" s="35" t="s">
        <v>33</v>
      </c>
      <c r="F213" s="35" t="s">
        <v>15</v>
      </c>
      <c r="G213" s="35"/>
      <c r="H213" s="37" t="n">
        <f aca="false">IFERROR(VLOOKUP(D213,Settings!$A$5:$C$14,3,FALSE()),"")</f>
        <v>5</v>
      </c>
      <c r="I213" s="37" t="n">
        <f aca="false">IF(C213="","",C213-B213)</f>
        <v>5</v>
      </c>
      <c r="J213" s="38" t="str">
        <f aca="false">IF(I213="","",IF(I213&gt;H213,"Delayed","On Time"))</f>
        <v>On Time</v>
      </c>
      <c r="K213" s="37" t="str">
        <f aca="false">IF(J213="Delayed",I213-H213,"")</f>
        <v/>
      </c>
    </row>
    <row r="214" customFormat="false" ht="15" hidden="false" customHeight="false" outlineLevel="0" collapsed="false">
      <c r="A214" s="35" t="s">
        <v>278</v>
      </c>
      <c r="B214" s="36" t="n">
        <v>46230</v>
      </c>
      <c r="C214" s="36" t="n">
        <v>46231</v>
      </c>
      <c r="D214" s="35" t="s">
        <v>50</v>
      </c>
      <c r="E214" s="35" t="s">
        <v>33</v>
      </c>
      <c r="F214" s="35" t="s">
        <v>15</v>
      </c>
      <c r="G214" s="35"/>
      <c r="H214" s="37" t="n">
        <f aca="false">IFERROR(VLOOKUP(D214,Settings!$A$5:$C$14,3,FALSE()),"")</f>
        <v>3</v>
      </c>
      <c r="I214" s="37" t="n">
        <f aca="false">IF(C214="","",C214-B214)</f>
        <v>1</v>
      </c>
      <c r="J214" s="38" t="str">
        <f aca="false">IF(I214="","",IF(I214&gt;H214,"Delayed","On Time"))</f>
        <v>On Time</v>
      </c>
      <c r="K214" s="37" t="str">
        <f aca="false">IF(J214="Delayed",I214-H214,"")</f>
        <v/>
      </c>
    </row>
    <row r="215" customFormat="false" ht="15" hidden="false" customHeight="false" outlineLevel="0" collapsed="false">
      <c r="A215" s="35" t="s">
        <v>279</v>
      </c>
      <c r="B215" s="36" t="n">
        <v>46230</v>
      </c>
      <c r="C215" s="36" t="n">
        <v>46232</v>
      </c>
      <c r="D215" s="35" t="s">
        <v>44</v>
      </c>
      <c r="E215" s="35" t="s">
        <v>34</v>
      </c>
      <c r="F215" s="35" t="s">
        <v>15</v>
      </c>
      <c r="G215" s="35"/>
      <c r="H215" s="37" t="n">
        <f aca="false">IFERROR(VLOOKUP(D215,Settings!$A$5:$C$14,3,FALSE()),"")</f>
        <v>3</v>
      </c>
      <c r="I215" s="37" t="n">
        <f aca="false">IF(C215="","",C215-B215)</f>
        <v>2</v>
      </c>
      <c r="J215" s="38" t="str">
        <f aca="false">IF(I215="","",IF(I215&gt;H215,"Delayed","On Time"))</f>
        <v>On Time</v>
      </c>
      <c r="K215" s="37" t="str">
        <f aca="false">IF(J215="Delayed",I215-H215,"")</f>
        <v/>
      </c>
    </row>
    <row r="216" customFormat="false" ht="15" hidden="false" customHeight="false" outlineLevel="0" collapsed="false">
      <c r="A216" s="35" t="s">
        <v>280</v>
      </c>
      <c r="B216" s="36" t="n">
        <v>46230</v>
      </c>
      <c r="C216" s="36" t="n">
        <v>46233</v>
      </c>
      <c r="D216" s="35" t="s">
        <v>44</v>
      </c>
      <c r="E216" s="35" t="s">
        <v>35</v>
      </c>
      <c r="F216" s="35" t="s">
        <v>15</v>
      </c>
      <c r="G216" s="35"/>
      <c r="H216" s="37" t="n">
        <f aca="false">IFERROR(VLOOKUP(D216,Settings!$A$5:$C$14,3,FALSE()),"")</f>
        <v>3</v>
      </c>
      <c r="I216" s="37" t="n">
        <f aca="false">IF(C216="","",C216-B216)</f>
        <v>3</v>
      </c>
      <c r="J216" s="38" t="str">
        <f aca="false">IF(I216="","",IF(I216&gt;H216,"Delayed","On Time"))</f>
        <v>On Time</v>
      </c>
      <c r="K216" s="37" t="str">
        <f aca="false">IF(J216="Delayed",I216-H216,"")</f>
        <v/>
      </c>
    </row>
    <row r="217" customFormat="false" ht="15" hidden="false" customHeight="false" outlineLevel="0" collapsed="false">
      <c r="A217" s="35" t="s">
        <v>281</v>
      </c>
      <c r="B217" s="36" t="n">
        <v>46231</v>
      </c>
      <c r="C217" s="36" t="n">
        <v>46235</v>
      </c>
      <c r="D217" s="35" t="s">
        <v>44</v>
      </c>
      <c r="E217" s="35" t="s">
        <v>34</v>
      </c>
      <c r="F217" s="35" t="s">
        <v>15</v>
      </c>
      <c r="G217" s="35"/>
      <c r="H217" s="37" t="n">
        <f aca="false">IFERROR(VLOOKUP(D217,Settings!$A$5:$C$14,3,FALSE()),"")</f>
        <v>3</v>
      </c>
      <c r="I217" s="37" t="n">
        <f aca="false">IF(C217="","",C217-B217)</f>
        <v>4</v>
      </c>
      <c r="J217" s="38" t="str">
        <f aca="false">IF(I217="","",IF(I217&gt;H217,"Delayed","On Time"))</f>
        <v>Delayed</v>
      </c>
      <c r="K217" s="37" t="n">
        <f aca="false">IF(J217="Delayed",I217-H217,"")</f>
        <v>1</v>
      </c>
    </row>
    <row r="218" customFormat="false" ht="15" hidden="false" customHeight="false" outlineLevel="0" collapsed="false">
      <c r="A218" s="35" t="s">
        <v>282</v>
      </c>
      <c r="B218" s="36" t="n">
        <v>46231</v>
      </c>
      <c r="C218" s="36" t="n">
        <v>46233</v>
      </c>
      <c r="D218" s="35" t="s">
        <v>50</v>
      </c>
      <c r="E218" s="35" t="s">
        <v>33</v>
      </c>
      <c r="F218" s="35" t="s">
        <v>15</v>
      </c>
      <c r="G218" s="35"/>
      <c r="H218" s="37" t="n">
        <f aca="false">IFERROR(VLOOKUP(D218,Settings!$A$5:$C$14,3,FALSE()),"")</f>
        <v>3</v>
      </c>
      <c r="I218" s="37" t="n">
        <f aca="false">IF(C218="","",C218-B218)</f>
        <v>2</v>
      </c>
      <c r="J218" s="38" t="str">
        <f aca="false">IF(I218="","",IF(I218&gt;H218,"Delayed","On Time"))</f>
        <v>On Time</v>
      </c>
      <c r="K218" s="37" t="str">
        <f aca="false">IF(J218="Delayed",I218-H218,"")</f>
        <v/>
      </c>
    </row>
    <row r="219" customFormat="false" ht="15" hidden="false" customHeight="false" outlineLevel="0" collapsed="false">
      <c r="A219" s="35" t="s">
        <v>283</v>
      </c>
      <c r="B219" s="36" t="n">
        <v>46231</v>
      </c>
      <c r="C219" s="36" t="n">
        <v>46239</v>
      </c>
      <c r="D219" s="35" t="s">
        <v>57</v>
      </c>
      <c r="E219" s="35" t="s">
        <v>35</v>
      </c>
      <c r="F219" s="35" t="s">
        <v>17</v>
      </c>
      <c r="G219" s="35" t="s">
        <v>51</v>
      </c>
      <c r="H219" s="37" t="n">
        <f aca="false">IFERROR(VLOOKUP(D219,Settings!$A$5:$C$14,3,FALSE()),"")</f>
        <v>7</v>
      </c>
      <c r="I219" s="37" t="n">
        <f aca="false">IF(C219="","",C219-B219)</f>
        <v>8</v>
      </c>
      <c r="J219" s="38" t="str">
        <f aca="false">IF(I219="","",IF(I219&gt;H219,"Delayed","On Time"))</f>
        <v>Delayed</v>
      </c>
      <c r="K219" s="37" t="n">
        <f aca="false">IF(J219="Delayed",I219-H219,"")</f>
        <v>1</v>
      </c>
    </row>
    <row r="220" customFormat="false" ht="15" hidden="false" customHeight="false" outlineLevel="0" collapsed="false">
      <c r="A220" s="35" t="s">
        <v>284</v>
      </c>
      <c r="B220" s="36" t="n">
        <v>46231</v>
      </c>
      <c r="C220" s="36" t="n">
        <v>46236</v>
      </c>
      <c r="D220" s="35" t="s">
        <v>55</v>
      </c>
      <c r="E220" s="35" t="s">
        <v>34</v>
      </c>
      <c r="F220" s="35" t="s">
        <v>15</v>
      </c>
      <c r="G220" s="35"/>
      <c r="H220" s="37" t="n">
        <f aca="false">IFERROR(VLOOKUP(D220,Settings!$A$5:$C$14,3,FALSE()),"")</f>
        <v>5</v>
      </c>
      <c r="I220" s="37" t="n">
        <f aca="false">IF(C220="","",C220-B220)</f>
        <v>5</v>
      </c>
      <c r="J220" s="38" t="str">
        <f aca="false">IF(I220="","",IF(I220&gt;H220,"Delayed","On Time"))</f>
        <v>On Time</v>
      </c>
      <c r="K220" s="37" t="str">
        <f aca="false">IF(J220="Delayed",I220-H220,"")</f>
        <v/>
      </c>
    </row>
    <row r="221" customFormat="false" ht="15" hidden="false" customHeight="false" outlineLevel="0" collapsed="false">
      <c r="A221" s="35" t="s">
        <v>285</v>
      </c>
      <c r="B221" s="36" t="n">
        <v>46231</v>
      </c>
      <c r="C221" s="36" t="n">
        <v>46236</v>
      </c>
      <c r="D221" s="35" t="s">
        <v>48</v>
      </c>
      <c r="E221" s="35" t="s">
        <v>35</v>
      </c>
      <c r="F221" s="35" t="s">
        <v>15</v>
      </c>
      <c r="G221" s="35"/>
      <c r="H221" s="37" t="n">
        <f aca="false">IFERROR(VLOOKUP(D221,Settings!$A$5:$C$14,3,FALSE()),"")</f>
        <v>3</v>
      </c>
      <c r="I221" s="37" t="n">
        <f aca="false">IF(C221="","",C221-B221)</f>
        <v>5</v>
      </c>
      <c r="J221" s="38" t="str">
        <f aca="false">IF(I221="","",IF(I221&gt;H221,"Delayed","On Time"))</f>
        <v>Delayed</v>
      </c>
      <c r="K221" s="37" t="n">
        <f aca="false">IF(J221="Delayed",I221-H221,"")</f>
        <v>2</v>
      </c>
    </row>
    <row r="222" customFormat="false" ht="15" hidden="false" customHeight="false" outlineLevel="0" collapsed="false">
      <c r="A222" s="35" t="s">
        <v>286</v>
      </c>
      <c r="B222" s="36" t="n">
        <v>46231</v>
      </c>
      <c r="C222" s="36" t="n">
        <v>46234</v>
      </c>
      <c r="D222" s="35" t="s">
        <v>48</v>
      </c>
      <c r="E222" s="35" t="s">
        <v>33</v>
      </c>
      <c r="F222" s="35" t="s">
        <v>15</v>
      </c>
      <c r="G222" s="35"/>
      <c r="H222" s="37" t="n">
        <f aca="false">IFERROR(VLOOKUP(D222,Settings!$A$5:$C$14,3,FALSE()),"")</f>
        <v>3</v>
      </c>
      <c r="I222" s="37" t="n">
        <f aca="false">IF(C222="","",C222-B222)</f>
        <v>3</v>
      </c>
      <c r="J222" s="38" t="str">
        <f aca="false">IF(I222="","",IF(I222&gt;H222,"Delayed","On Time"))</f>
        <v>On Time</v>
      </c>
      <c r="K222" s="37" t="str">
        <f aca="false">IF(J222="Delayed",I222-H222,"")</f>
        <v/>
      </c>
    </row>
    <row r="223" customFormat="false" ht="15" hidden="false" customHeight="false" outlineLevel="0" collapsed="false">
      <c r="A223" s="35" t="s">
        <v>287</v>
      </c>
      <c r="B223" s="36" t="n">
        <v>46231</v>
      </c>
      <c r="C223" s="36" t="n">
        <v>46232</v>
      </c>
      <c r="D223" s="35" t="s">
        <v>48</v>
      </c>
      <c r="E223" s="35" t="s">
        <v>33</v>
      </c>
      <c r="F223" s="35" t="s">
        <v>15</v>
      </c>
      <c r="G223" s="35"/>
      <c r="H223" s="37" t="n">
        <f aca="false">IFERROR(VLOOKUP(D223,Settings!$A$5:$C$14,3,FALSE()),"")</f>
        <v>3</v>
      </c>
      <c r="I223" s="37" t="n">
        <f aca="false">IF(C223="","",C223-B223)</f>
        <v>1</v>
      </c>
      <c r="J223" s="38" t="str">
        <f aca="false">IF(I223="","",IF(I223&gt;H223,"Delayed","On Time"))</f>
        <v>On Time</v>
      </c>
      <c r="K223" s="37" t="str">
        <f aca="false">IF(J223="Delayed",I223-H223,"")</f>
        <v/>
      </c>
    </row>
    <row r="224" customFormat="false" ht="15" hidden="false" customHeight="false" outlineLevel="0" collapsed="false">
      <c r="A224" s="35" t="s">
        <v>288</v>
      </c>
      <c r="B224" s="36" t="n">
        <v>46231</v>
      </c>
      <c r="C224" s="36" t="n">
        <v>46235</v>
      </c>
      <c r="D224" s="35" t="s">
        <v>50</v>
      </c>
      <c r="E224" s="35" t="s">
        <v>34</v>
      </c>
      <c r="F224" s="35" t="s">
        <v>15</v>
      </c>
      <c r="G224" s="35"/>
      <c r="H224" s="37" t="n">
        <f aca="false">IFERROR(VLOOKUP(D224,Settings!$A$5:$C$14,3,FALSE()),"")</f>
        <v>3</v>
      </c>
      <c r="I224" s="37" t="n">
        <f aca="false">IF(C224="","",C224-B224)</f>
        <v>4</v>
      </c>
      <c r="J224" s="38" t="str">
        <f aca="false">IF(I224="","",IF(I224&gt;H224,"Delayed","On Time"))</f>
        <v>Delayed</v>
      </c>
      <c r="K224" s="37" t="n">
        <f aca="false">IF(J224="Delayed",I224-H224,"")</f>
        <v>1</v>
      </c>
    </row>
    <row r="225" customFormat="false" ht="15" hidden="false" customHeight="false" outlineLevel="0" collapsed="false">
      <c r="A225" s="35" t="s">
        <v>289</v>
      </c>
      <c r="B225" s="36" t="n">
        <v>46231</v>
      </c>
      <c r="C225" s="36"/>
      <c r="D225" s="35" t="s">
        <v>48</v>
      </c>
      <c r="E225" s="35" t="s">
        <v>36</v>
      </c>
      <c r="F225" s="35" t="s">
        <v>18</v>
      </c>
      <c r="G225" s="35" t="s">
        <v>49</v>
      </c>
      <c r="H225" s="37" t="n">
        <f aca="false">IFERROR(VLOOKUP(D225,Settings!$A$5:$C$14,3,FALSE()),"")</f>
        <v>3</v>
      </c>
      <c r="I225" s="37" t="str">
        <f aca="false">IF(C225="","",C225-B225)</f>
        <v/>
      </c>
      <c r="J225" s="38" t="str">
        <f aca="false">IF(I225="","",IF(I225&gt;H225,"Delayed","On Time"))</f>
        <v/>
      </c>
      <c r="K225" s="37" t="str">
        <f aca="false">IF(J225="Delayed",I225-H225,"")</f>
        <v/>
      </c>
    </row>
    <row r="226" customFormat="false" ht="15" hidden="false" customHeight="false" outlineLevel="0" collapsed="false">
      <c r="A226" s="35" t="s">
        <v>290</v>
      </c>
      <c r="B226" s="36" t="n">
        <v>46232</v>
      </c>
      <c r="C226" s="36" t="n">
        <v>46234</v>
      </c>
      <c r="D226" s="35" t="s">
        <v>52</v>
      </c>
      <c r="E226" s="35" t="s">
        <v>33</v>
      </c>
      <c r="F226" s="35" t="s">
        <v>15</v>
      </c>
      <c r="G226" s="35"/>
      <c r="H226" s="37" t="n">
        <f aca="false">IFERROR(VLOOKUP(D226,Settings!$A$5:$C$14,3,FALSE()),"")</f>
        <v>4</v>
      </c>
      <c r="I226" s="37" t="n">
        <f aca="false">IF(C226="","",C226-B226)</f>
        <v>2</v>
      </c>
      <c r="J226" s="38" t="str">
        <f aca="false">IF(I226="","",IF(I226&gt;H226,"Delayed","On Time"))</f>
        <v>On Time</v>
      </c>
      <c r="K226" s="37" t="str">
        <f aca="false">IF(J226="Delayed",I226-H226,"")</f>
        <v/>
      </c>
    </row>
    <row r="227" customFormat="false" ht="15" hidden="false" customHeight="false" outlineLevel="0" collapsed="false">
      <c r="A227" s="35" t="s">
        <v>291</v>
      </c>
      <c r="B227" s="36" t="n">
        <v>46232</v>
      </c>
      <c r="C227" s="36" t="n">
        <v>46237</v>
      </c>
      <c r="D227" s="35" t="s">
        <v>53</v>
      </c>
      <c r="E227" s="35" t="s">
        <v>34</v>
      </c>
      <c r="F227" s="35" t="s">
        <v>15</v>
      </c>
      <c r="G227" s="35"/>
      <c r="H227" s="37" t="n">
        <f aca="false">IFERROR(VLOOKUP(D227,Settings!$A$5:$C$14,3,FALSE()),"")</f>
        <v>5</v>
      </c>
      <c r="I227" s="37" t="n">
        <f aca="false">IF(C227="","",C227-B227)</f>
        <v>5</v>
      </c>
      <c r="J227" s="38" t="str">
        <f aca="false">IF(I227="","",IF(I227&gt;H227,"Delayed","On Time"))</f>
        <v>On Time</v>
      </c>
      <c r="K227" s="37" t="str">
        <f aca="false">IF(J227="Delayed",I227-H227,"")</f>
        <v/>
      </c>
    </row>
    <row r="228" customFormat="false" ht="15" hidden="false" customHeight="false" outlineLevel="0" collapsed="false">
      <c r="A228" s="35" t="s">
        <v>292</v>
      </c>
      <c r="B228" s="36" t="n">
        <v>46232</v>
      </c>
      <c r="C228" s="36"/>
      <c r="D228" s="35" t="s">
        <v>44</v>
      </c>
      <c r="E228" s="35" t="s">
        <v>36</v>
      </c>
      <c r="F228" s="35" t="s">
        <v>18</v>
      </c>
      <c r="G228" s="35" t="s">
        <v>49</v>
      </c>
      <c r="H228" s="37" t="n">
        <f aca="false">IFERROR(VLOOKUP(D228,Settings!$A$5:$C$14,3,FALSE()),"")</f>
        <v>3</v>
      </c>
      <c r="I228" s="37" t="str">
        <f aca="false">IF(C228="","",C228-B228)</f>
        <v/>
      </c>
      <c r="J228" s="38" t="str">
        <f aca="false">IF(I228="","",IF(I228&gt;H228,"Delayed","On Time"))</f>
        <v/>
      </c>
      <c r="K228" s="37" t="str">
        <f aca="false">IF(J228="Delayed",I228-H228,"")</f>
        <v/>
      </c>
    </row>
    <row r="229" customFormat="false" ht="15" hidden="false" customHeight="false" outlineLevel="0" collapsed="false">
      <c r="A229" s="35" t="s">
        <v>293</v>
      </c>
      <c r="B229" s="36" t="n">
        <v>46232</v>
      </c>
      <c r="C229" s="36" t="n">
        <v>46236</v>
      </c>
      <c r="D229" s="35" t="s">
        <v>50</v>
      </c>
      <c r="E229" s="35" t="s">
        <v>34</v>
      </c>
      <c r="F229" s="35" t="s">
        <v>15</v>
      </c>
      <c r="G229" s="35"/>
      <c r="H229" s="37" t="n">
        <f aca="false">IFERROR(VLOOKUP(D229,Settings!$A$5:$C$14,3,FALSE()),"")</f>
        <v>3</v>
      </c>
      <c r="I229" s="37" t="n">
        <f aca="false">IF(C229="","",C229-B229)</f>
        <v>4</v>
      </c>
      <c r="J229" s="38" t="str">
        <f aca="false">IF(I229="","",IF(I229&gt;H229,"Delayed","On Time"))</f>
        <v>Delayed</v>
      </c>
      <c r="K229" s="37" t="n">
        <f aca="false">IF(J229="Delayed",I229-H229,"")</f>
        <v>1</v>
      </c>
    </row>
    <row r="230" customFormat="false" ht="15" hidden="false" customHeight="false" outlineLevel="0" collapsed="false">
      <c r="A230" s="35" t="s">
        <v>294</v>
      </c>
      <c r="B230" s="36" t="n">
        <v>46232</v>
      </c>
      <c r="C230" s="36"/>
      <c r="D230" s="35" t="s">
        <v>46</v>
      </c>
      <c r="E230" s="35" t="s">
        <v>33</v>
      </c>
      <c r="F230" s="35" t="s">
        <v>18</v>
      </c>
      <c r="G230" s="35" t="s">
        <v>47</v>
      </c>
      <c r="H230" s="37" t="n">
        <f aca="false">IFERROR(VLOOKUP(D230,Settings!$A$5:$C$14,3,FALSE()),"")</f>
        <v>3</v>
      </c>
      <c r="I230" s="37" t="str">
        <f aca="false">IF(C230="","",C230-B230)</f>
        <v/>
      </c>
      <c r="J230" s="38" t="str">
        <f aca="false">IF(I230="","",IF(I230&gt;H230,"Delayed","On Time"))</f>
        <v/>
      </c>
      <c r="K230" s="37" t="str">
        <f aca="false">IF(J230="Delayed",I230-H230,"")</f>
        <v/>
      </c>
    </row>
    <row r="231" customFormat="false" ht="15" hidden="false" customHeight="false" outlineLevel="0" collapsed="false">
      <c r="A231" s="35" t="s">
        <v>295</v>
      </c>
      <c r="B231" s="36" t="n">
        <v>46232</v>
      </c>
      <c r="C231" s="36" t="n">
        <v>46235</v>
      </c>
      <c r="D231" s="35" t="s">
        <v>44</v>
      </c>
      <c r="E231" s="35" t="s">
        <v>33</v>
      </c>
      <c r="F231" s="35" t="s">
        <v>15</v>
      </c>
      <c r="G231" s="35"/>
      <c r="H231" s="37" t="n">
        <f aca="false">IFERROR(VLOOKUP(D231,Settings!$A$5:$C$14,3,FALSE()),"")</f>
        <v>3</v>
      </c>
      <c r="I231" s="37" t="n">
        <f aca="false">IF(C231="","",C231-B231)</f>
        <v>3</v>
      </c>
      <c r="J231" s="38" t="str">
        <f aca="false">IF(I231="","",IF(I231&gt;H231,"Delayed","On Time"))</f>
        <v>On Time</v>
      </c>
      <c r="K231" s="37" t="str">
        <f aca="false">IF(J231="Delayed",I231-H231,"")</f>
        <v/>
      </c>
    </row>
    <row r="232" customFormat="false" ht="15" hidden="false" customHeight="false" outlineLevel="0" collapsed="false">
      <c r="A232" s="35" t="s">
        <v>296</v>
      </c>
      <c r="B232" s="36" t="n">
        <v>46232</v>
      </c>
      <c r="C232" s="36" t="n">
        <v>46237</v>
      </c>
      <c r="D232" s="35" t="s">
        <v>52</v>
      </c>
      <c r="E232" s="35" t="s">
        <v>35</v>
      </c>
      <c r="F232" s="35" t="s">
        <v>15</v>
      </c>
      <c r="G232" s="35"/>
      <c r="H232" s="37" t="n">
        <f aca="false">IFERROR(VLOOKUP(D232,Settings!$A$5:$C$14,3,FALSE()),"")</f>
        <v>4</v>
      </c>
      <c r="I232" s="37" t="n">
        <f aca="false">IF(C232="","",C232-B232)</f>
        <v>5</v>
      </c>
      <c r="J232" s="38" t="str">
        <f aca="false">IF(I232="","",IF(I232&gt;H232,"Delayed","On Time"))</f>
        <v>Delayed</v>
      </c>
      <c r="K232" s="37" t="n">
        <f aca="false">IF(J232="Delayed",I232-H232,"")</f>
        <v>1</v>
      </c>
    </row>
    <row r="233" customFormat="false" ht="15" hidden="false" customHeight="false" outlineLevel="0" collapsed="false">
      <c r="A233" s="35" t="s">
        <v>297</v>
      </c>
      <c r="B233" s="36" t="n">
        <v>46232</v>
      </c>
      <c r="C233" s="36" t="n">
        <v>46237</v>
      </c>
      <c r="D233" s="35" t="s">
        <v>46</v>
      </c>
      <c r="E233" s="35" t="s">
        <v>36</v>
      </c>
      <c r="F233" s="35" t="s">
        <v>15</v>
      </c>
      <c r="G233" s="35"/>
      <c r="H233" s="37" t="n">
        <f aca="false">IFERROR(VLOOKUP(D233,Settings!$A$5:$C$14,3,FALSE()),"")</f>
        <v>3</v>
      </c>
      <c r="I233" s="37" t="n">
        <f aca="false">IF(C233="","",C233-B233)</f>
        <v>5</v>
      </c>
      <c r="J233" s="38" t="str">
        <f aca="false">IF(I233="","",IF(I233&gt;H233,"Delayed","On Time"))</f>
        <v>Delayed</v>
      </c>
      <c r="K233" s="37" t="n">
        <f aca="false">IF(J233="Delayed",I233-H233,"")</f>
        <v>2</v>
      </c>
    </row>
    <row r="234" customFormat="false" ht="15" hidden="false" customHeight="false" outlineLevel="0" collapsed="false">
      <c r="A234" s="35" t="s">
        <v>298</v>
      </c>
      <c r="B234" s="36" t="n">
        <v>46232</v>
      </c>
      <c r="C234" s="36" t="n">
        <v>46236</v>
      </c>
      <c r="D234" s="35" t="s">
        <v>52</v>
      </c>
      <c r="E234" s="35" t="s">
        <v>33</v>
      </c>
      <c r="F234" s="35" t="s">
        <v>15</v>
      </c>
      <c r="G234" s="35"/>
      <c r="H234" s="37" t="n">
        <f aca="false">IFERROR(VLOOKUP(D234,Settings!$A$5:$C$14,3,FALSE()),"")</f>
        <v>4</v>
      </c>
      <c r="I234" s="37" t="n">
        <f aca="false">IF(C234="","",C234-B234)</f>
        <v>4</v>
      </c>
      <c r="J234" s="38" t="str">
        <f aca="false">IF(I234="","",IF(I234&gt;H234,"Delayed","On Time"))</f>
        <v>On Time</v>
      </c>
      <c r="K234" s="37" t="str">
        <f aca="false">IF(J234="Delayed",I234-H234,"")</f>
        <v/>
      </c>
    </row>
    <row r="235" customFormat="false" ht="15" hidden="false" customHeight="false" outlineLevel="0" collapsed="false">
      <c r="A235" s="35" t="s">
        <v>299</v>
      </c>
      <c r="B235" s="36" t="n">
        <v>46232</v>
      </c>
      <c r="C235" s="36" t="n">
        <v>46238</v>
      </c>
      <c r="D235" s="35" t="s">
        <v>48</v>
      </c>
      <c r="E235" s="35" t="s">
        <v>34</v>
      </c>
      <c r="F235" s="35" t="s">
        <v>17</v>
      </c>
      <c r="G235" s="35" t="s">
        <v>43</v>
      </c>
      <c r="H235" s="37" t="n">
        <f aca="false">IFERROR(VLOOKUP(D235,Settings!$A$5:$C$14,3,FALSE()),"")</f>
        <v>3</v>
      </c>
      <c r="I235" s="37" t="n">
        <f aca="false">IF(C235="","",C235-B235)</f>
        <v>6</v>
      </c>
      <c r="J235" s="38" t="str">
        <f aca="false">IF(I235="","",IF(I235&gt;H235,"Delayed","On Time"))</f>
        <v>Delayed</v>
      </c>
      <c r="K235" s="37" t="n">
        <f aca="false">IF(J235="Delayed",I235-H235,"")</f>
        <v>3</v>
      </c>
    </row>
    <row r="236" customFormat="false" ht="15" hidden="false" customHeight="false" outlineLevel="0" collapsed="false">
      <c r="A236" s="35" t="s">
        <v>300</v>
      </c>
      <c r="B236" s="36" t="n">
        <v>46233</v>
      </c>
      <c r="C236" s="36" t="n">
        <v>46235</v>
      </c>
      <c r="D236" s="35" t="s">
        <v>48</v>
      </c>
      <c r="E236" s="35" t="s">
        <v>35</v>
      </c>
      <c r="F236" s="35" t="s">
        <v>15</v>
      </c>
      <c r="G236" s="35"/>
      <c r="H236" s="37" t="n">
        <f aca="false">IFERROR(VLOOKUP(D236,Settings!$A$5:$C$14,3,FALSE()),"")</f>
        <v>3</v>
      </c>
      <c r="I236" s="37" t="n">
        <f aca="false">IF(C236="","",C236-B236)</f>
        <v>2</v>
      </c>
      <c r="J236" s="38" t="str">
        <f aca="false">IF(I236="","",IF(I236&gt;H236,"Delayed","On Time"))</f>
        <v>On Time</v>
      </c>
      <c r="K236" s="37" t="str">
        <f aca="false">IF(J236="Delayed",I236-H236,"")</f>
        <v/>
      </c>
    </row>
    <row r="237" customFormat="false" ht="15" hidden="false" customHeight="false" outlineLevel="0" collapsed="false">
      <c r="A237" s="35" t="s">
        <v>301</v>
      </c>
      <c r="B237" s="36" t="n">
        <v>46233</v>
      </c>
      <c r="C237" s="36"/>
      <c r="D237" s="35" t="s">
        <v>50</v>
      </c>
      <c r="E237" s="35" t="s">
        <v>33</v>
      </c>
      <c r="F237" s="35" t="s">
        <v>18</v>
      </c>
      <c r="G237" s="35" t="s">
        <v>49</v>
      </c>
      <c r="H237" s="37" t="n">
        <f aca="false">IFERROR(VLOOKUP(D237,Settings!$A$5:$C$14,3,FALSE()),"")</f>
        <v>3</v>
      </c>
      <c r="I237" s="37" t="str">
        <f aca="false">IF(C237="","",C237-B237)</f>
        <v/>
      </c>
      <c r="J237" s="38" t="str">
        <f aca="false">IF(I237="","",IF(I237&gt;H237,"Delayed","On Time"))</f>
        <v/>
      </c>
      <c r="K237" s="37" t="str">
        <f aca="false">IF(J237="Delayed",I237-H237,"")</f>
        <v/>
      </c>
    </row>
    <row r="238" customFormat="false" ht="15" hidden="false" customHeight="false" outlineLevel="0" collapsed="false">
      <c r="A238" s="35" t="s">
        <v>302</v>
      </c>
      <c r="B238" s="36" t="n">
        <v>46233</v>
      </c>
      <c r="C238" s="36" t="n">
        <v>46235</v>
      </c>
      <c r="D238" s="35" t="s">
        <v>50</v>
      </c>
      <c r="E238" s="35" t="s">
        <v>33</v>
      </c>
      <c r="F238" s="35" t="s">
        <v>15</v>
      </c>
      <c r="G238" s="35"/>
      <c r="H238" s="37" t="n">
        <f aca="false">IFERROR(VLOOKUP(D238,Settings!$A$5:$C$14,3,FALSE()),"")</f>
        <v>3</v>
      </c>
      <c r="I238" s="37" t="n">
        <f aca="false">IF(C238="","",C238-B238)</f>
        <v>2</v>
      </c>
      <c r="J238" s="38" t="str">
        <f aca="false">IF(I238="","",IF(I238&gt;H238,"Delayed","On Time"))</f>
        <v>On Time</v>
      </c>
      <c r="K238" s="37" t="str">
        <f aca="false">IF(J238="Delayed",I238-H238,"")</f>
        <v/>
      </c>
    </row>
    <row r="239" customFormat="false" ht="15" hidden="false" customHeight="false" outlineLevel="0" collapsed="false">
      <c r="A239" s="35" t="s">
        <v>303</v>
      </c>
      <c r="B239" s="36" t="n">
        <v>46233</v>
      </c>
      <c r="C239" s="36" t="n">
        <v>46237</v>
      </c>
      <c r="D239" s="35" t="s">
        <v>48</v>
      </c>
      <c r="E239" s="35" t="s">
        <v>35</v>
      </c>
      <c r="F239" s="35" t="s">
        <v>15</v>
      </c>
      <c r="G239" s="35"/>
      <c r="H239" s="37" t="n">
        <f aca="false">IFERROR(VLOOKUP(D239,Settings!$A$5:$C$14,3,FALSE()),"")</f>
        <v>3</v>
      </c>
      <c r="I239" s="37" t="n">
        <f aca="false">IF(C239="","",C239-B239)</f>
        <v>4</v>
      </c>
      <c r="J239" s="38" t="str">
        <f aca="false">IF(I239="","",IF(I239&gt;H239,"Delayed","On Time"))</f>
        <v>Delayed</v>
      </c>
      <c r="K239" s="37" t="n">
        <f aca="false">IF(J239="Delayed",I239-H239,"")</f>
        <v>1</v>
      </c>
    </row>
    <row r="240" customFormat="false" ht="15" hidden="false" customHeight="false" outlineLevel="0" collapsed="false">
      <c r="A240" s="35" t="s">
        <v>304</v>
      </c>
      <c r="B240" s="36" t="n">
        <v>46233</v>
      </c>
      <c r="C240" s="36"/>
      <c r="D240" s="35" t="s">
        <v>46</v>
      </c>
      <c r="E240" s="35" t="s">
        <v>36</v>
      </c>
      <c r="F240" s="35" t="s">
        <v>18</v>
      </c>
      <c r="G240" s="35" t="s">
        <v>47</v>
      </c>
      <c r="H240" s="37" t="n">
        <f aca="false">IFERROR(VLOOKUP(D240,Settings!$A$5:$C$14,3,FALSE()),"")</f>
        <v>3</v>
      </c>
      <c r="I240" s="37" t="str">
        <f aca="false">IF(C240="","",C240-B240)</f>
        <v/>
      </c>
      <c r="J240" s="38" t="str">
        <f aca="false">IF(I240="","",IF(I240&gt;H240,"Delayed","On Time"))</f>
        <v/>
      </c>
      <c r="K240" s="37" t="str">
        <f aca="false">IF(J240="Delayed",I240-H240,"")</f>
        <v/>
      </c>
    </row>
    <row r="241" customFormat="false" ht="15" hidden="false" customHeight="false" outlineLevel="0" collapsed="false">
      <c r="A241" s="35" t="s">
        <v>305</v>
      </c>
      <c r="B241" s="36" t="n">
        <v>46233</v>
      </c>
      <c r="C241" s="36" t="n">
        <v>46237</v>
      </c>
      <c r="D241" s="35" t="s">
        <v>53</v>
      </c>
      <c r="E241" s="35" t="s">
        <v>36</v>
      </c>
      <c r="F241" s="35" t="s">
        <v>15</v>
      </c>
      <c r="G241" s="35"/>
      <c r="H241" s="37" t="n">
        <f aca="false">IFERROR(VLOOKUP(D241,Settings!$A$5:$C$14,3,FALSE()),"")</f>
        <v>5</v>
      </c>
      <c r="I241" s="37" t="n">
        <f aca="false">IF(C241="","",C241-B241)</f>
        <v>4</v>
      </c>
      <c r="J241" s="38" t="str">
        <f aca="false">IF(I241="","",IF(I241&gt;H241,"Delayed","On Time"))</f>
        <v>On Time</v>
      </c>
      <c r="K241" s="37" t="str">
        <f aca="false">IF(J241="Delayed",I241-H241,"")</f>
        <v/>
      </c>
    </row>
    <row r="242" customFormat="false" ht="15" hidden="false" customHeight="false" outlineLevel="0" collapsed="false">
      <c r="A242" s="35" t="s">
        <v>306</v>
      </c>
      <c r="B242" s="36" t="n">
        <v>46233</v>
      </c>
      <c r="C242" s="36" t="n">
        <v>46237</v>
      </c>
      <c r="D242" s="35" t="s">
        <v>50</v>
      </c>
      <c r="E242" s="35" t="s">
        <v>34</v>
      </c>
      <c r="F242" s="35" t="s">
        <v>15</v>
      </c>
      <c r="G242" s="35"/>
      <c r="H242" s="37" t="n">
        <f aca="false">IFERROR(VLOOKUP(D242,Settings!$A$5:$C$14,3,FALSE()),"")</f>
        <v>3</v>
      </c>
      <c r="I242" s="37" t="n">
        <f aca="false">IF(C242="","",C242-B242)</f>
        <v>4</v>
      </c>
      <c r="J242" s="38" t="str">
        <f aca="false">IF(I242="","",IF(I242&gt;H242,"Delayed","On Time"))</f>
        <v>Delayed</v>
      </c>
      <c r="K242" s="37" t="n">
        <f aca="false">IF(J242="Delayed",I242-H242,"")</f>
        <v>1</v>
      </c>
    </row>
    <row r="243" customFormat="false" ht="15" hidden="false" customHeight="false" outlineLevel="0" collapsed="false">
      <c r="A243" s="35" t="s">
        <v>307</v>
      </c>
      <c r="B243" s="36" t="n">
        <v>46233</v>
      </c>
      <c r="C243" s="36" t="n">
        <v>46237</v>
      </c>
      <c r="D243" s="35" t="s">
        <v>54</v>
      </c>
      <c r="E243" s="35" t="s">
        <v>34</v>
      </c>
      <c r="F243" s="35" t="s">
        <v>15</v>
      </c>
      <c r="G243" s="35"/>
      <c r="H243" s="37" t="n">
        <f aca="false">IFERROR(VLOOKUP(D243,Settings!$A$5:$C$14,3,FALSE()),"")</f>
        <v>5</v>
      </c>
      <c r="I243" s="37" t="n">
        <f aca="false">IF(C243="","",C243-B243)</f>
        <v>4</v>
      </c>
      <c r="J243" s="38" t="str">
        <f aca="false">IF(I243="","",IF(I243&gt;H243,"Delayed","On Time"))</f>
        <v>On Time</v>
      </c>
      <c r="K243" s="37" t="str">
        <f aca="false">IF(J243="Delayed",I243-H243,"")</f>
        <v/>
      </c>
    </row>
    <row r="244" customFormat="false" ht="15" hidden="false" customHeight="false" outlineLevel="0" collapsed="false">
      <c r="A244" s="35" t="s">
        <v>308</v>
      </c>
      <c r="B244" s="36" t="n">
        <v>46233</v>
      </c>
      <c r="C244" s="36" t="n">
        <v>46238</v>
      </c>
      <c r="D244" s="35" t="s">
        <v>46</v>
      </c>
      <c r="E244" s="35" t="s">
        <v>33</v>
      </c>
      <c r="F244" s="35" t="s">
        <v>15</v>
      </c>
      <c r="G244" s="35"/>
      <c r="H244" s="37" t="n">
        <f aca="false">IFERROR(VLOOKUP(D244,Settings!$A$5:$C$14,3,FALSE()),"")</f>
        <v>3</v>
      </c>
      <c r="I244" s="37" t="n">
        <f aca="false">IF(C244="","",C244-B244)</f>
        <v>5</v>
      </c>
      <c r="J244" s="38" t="str">
        <f aca="false">IF(I244="","",IF(I244&gt;H244,"Delayed","On Time"))</f>
        <v>Delayed</v>
      </c>
      <c r="K244" s="37" t="n">
        <f aca="false">IF(J244="Delayed",I244-H244,"")</f>
        <v>2</v>
      </c>
    </row>
    <row r="245" customFormat="false" ht="15" hidden="false" customHeight="false" outlineLevel="0" collapsed="false">
      <c r="A245" s="35" t="s">
        <v>309</v>
      </c>
      <c r="B245" s="36" t="n">
        <v>46233</v>
      </c>
      <c r="C245" s="36" t="n">
        <v>46236</v>
      </c>
      <c r="D245" s="35" t="s">
        <v>48</v>
      </c>
      <c r="E245" s="35" t="s">
        <v>33</v>
      </c>
      <c r="F245" s="35" t="s">
        <v>15</v>
      </c>
      <c r="G245" s="35"/>
      <c r="H245" s="37" t="n">
        <f aca="false">IFERROR(VLOOKUP(D245,Settings!$A$5:$C$14,3,FALSE()),"")</f>
        <v>3</v>
      </c>
      <c r="I245" s="37" t="n">
        <f aca="false">IF(C245="","",C245-B245)</f>
        <v>3</v>
      </c>
      <c r="J245" s="38" t="str">
        <f aca="false">IF(I245="","",IF(I245&gt;H245,"Delayed","On Time"))</f>
        <v>On Time</v>
      </c>
      <c r="K245" s="37" t="str">
        <f aca="false">IF(J245="Delayed",I245-H245,"")</f>
        <v/>
      </c>
    </row>
    <row r="246" customFormat="false" ht="15" hidden="false" customHeight="false" outlineLevel="0" collapsed="false">
      <c r="A246" s="35" t="s">
        <v>310</v>
      </c>
      <c r="B246" s="36" t="n">
        <v>46233</v>
      </c>
      <c r="C246" s="36" t="n">
        <v>46238</v>
      </c>
      <c r="D246" s="35" t="s">
        <v>48</v>
      </c>
      <c r="E246" s="35" t="s">
        <v>35</v>
      </c>
      <c r="F246" s="35" t="s">
        <v>15</v>
      </c>
      <c r="G246" s="35"/>
      <c r="H246" s="37" t="n">
        <f aca="false">IFERROR(VLOOKUP(D246,Settings!$A$5:$C$14,3,FALSE()),"")</f>
        <v>3</v>
      </c>
      <c r="I246" s="37" t="n">
        <f aca="false">IF(C246="","",C246-B246)</f>
        <v>5</v>
      </c>
      <c r="J246" s="38" t="str">
        <f aca="false">IF(I246="","",IF(I246&gt;H246,"Delayed","On Time"))</f>
        <v>Delayed</v>
      </c>
      <c r="K246" s="37" t="n">
        <f aca="false">IF(J246="Delayed",I246-H246,"")</f>
        <v>2</v>
      </c>
    </row>
    <row r="247" customFormat="false" ht="15" hidden="false" customHeight="false" outlineLevel="0" collapsed="false">
      <c r="A247" s="35" t="s">
        <v>311</v>
      </c>
      <c r="B247" s="36" t="n">
        <v>46233</v>
      </c>
      <c r="C247" s="36" t="n">
        <v>46234</v>
      </c>
      <c r="D247" s="35" t="s">
        <v>46</v>
      </c>
      <c r="E247" s="35" t="s">
        <v>36</v>
      </c>
      <c r="F247" s="35" t="s">
        <v>17</v>
      </c>
      <c r="G247" s="35" t="s">
        <v>49</v>
      </c>
      <c r="H247" s="37" t="n">
        <f aca="false">IFERROR(VLOOKUP(D247,Settings!$A$5:$C$14,3,FALSE()),"")</f>
        <v>3</v>
      </c>
      <c r="I247" s="37" t="n">
        <f aca="false">IF(C247="","",C247-B247)</f>
        <v>1</v>
      </c>
      <c r="J247" s="38" t="str">
        <f aca="false">IF(I247="","",IF(I247&gt;H247,"Delayed","On Time"))</f>
        <v>On Time</v>
      </c>
      <c r="K247" s="37" t="str">
        <f aca="false">IF(J247="Delayed",I247-H247,"")</f>
        <v/>
      </c>
    </row>
    <row r="248" customFormat="false" ht="15" hidden="false" customHeight="false" outlineLevel="0" collapsed="false">
      <c r="A248" s="35" t="s">
        <v>312</v>
      </c>
      <c r="B248" s="36" t="n">
        <v>46233</v>
      </c>
      <c r="C248" s="36" t="n">
        <v>46237</v>
      </c>
      <c r="D248" s="35" t="s">
        <v>44</v>
      </c>
      <c r="E248" s="35" t="s">
        <v>34</v>
      </c>
      <c r="F248" s="35" t="s">
        <v>15</v>
      </c>
      <c r="G248" s="35"/>
      <c r="H248" s="37" t="n">
        <f aca="false">IFERROR(VLOOKUP(D248,Settings!$A$5:$C$14,3,FALSE()),"")</f>
        <v>3</v>
      </c>
      <c r="I248" s="37" t="n">
        <f aca="false">IF(C248="","",C248-B248)</f>
        <v>4</v>
      </c>
      <c r="J248" s="38" t="str">
        <f aca="false">IF(I248="","",IF(I248&gt;H248,"Delayed","On Time"))</f>
        <v>Delayed</v>
      </c>
      <c r="K248" s="37" t="n">
        <f aca="false">IF(J248="Delayed",I248-H248,"")</f>
        <v>1</v>
      </c>
    </row>
    <row r="249" customFormat="false" ht="15" hidden="false" customHeight="false" outlineLevel="0" collapsed="false">
      <c r="A249" s="35" t="s">
        <v>313</v>
      </c>
      <c r="B249" s="36" t="n">
        <v>46233</v>
      </c>
      <c r="C249" s="36" t="n">
        <v>46234</v>
      </c>
      <c r="D249" s="35" t="s">
        <v>48</v>
      </c>
      <c r="E249" s="35" t="s">
        <v>33</v>
      </c>
      <c r="F249" s="35" t="s">
        <v>15</v>
      </c>
      <c r="G249" s="35"/>
      <c r="H249" s="37" t="n">
        <f aca="false">IFERROR(VLOOKUP(D249,Settings!$A$5:$C$14,3,FALSE()),"")</f>
        <v>3</v>
      </c>
      <c r="I249" s="37" t="n">
        <f aca="false">IF(C249="","",C249-B249)</f>
        <v>1</v>
      </c>
      <c r="J249" s="38" t="str">
        <f aca="false">IF(I249="","",IF(I249&gt;H249,"Delayed","On Time"))</f>
        <v>On Time</v>
      </c>
      <c r="K249" s="37" t="str">
        <f aca="false">IF(J249="Delayed",I249-H249,"")</f>
        <v/>
      </c>
    </row>
    <row r="250" customFormat="false" ht="15" hidden="false" customHeight="false" outlineLevel="0" collapsed="false">
      <c r="A250" s="35" t="s">
        <v>314</v>
      </c>
      <c r="B250" s="36" t="n">
        <v>46233</v>
      </c>
      <c r="C250" s="36" t="n">
        <v>46236</v>
      </c>
      <c r="D250" s="35" t="s">
        <v>56</v>
      </c>
      <c r="E250" s="35" t="s">
        <v>33</v>
      </c>
      <c r="F250" s="35" t="s">
        <v>15</v>
      </c>
      <c r="G250" s="35"/>
      <c r="H250" s="37" t="n">
        <f aca="false">IFERROR(VLOOKUP(D250,Settings!$A$5:$C$14,3,FALSE()),"")</f>
        <v>6</v>
      </c>
      <c r="I250" s="37" t="n">
        <f aca="false">IF(C250="","",C250-B250)</f>
        <v>3</v>
      </c>
      <c r="J250" s="38" t="str">
        <f aca="false">IF(I250="","",IF(I250&gt;H250,"Delayed","On Time"))</f>
        <v>On Time</v>
      </c>
      <c r="K250" s="37" t="str">
        <f aca="false">IF(J250="Delayed",I250-H250,"")</f>
        <v/>
      </c>
    </row>
    <row r="251" customFormat="false" ht="15" hidden="false" customHeight="false" outlineLevel="0" collapsed="false">
      <c r="A251" s="35" t="s">
        <v>315</v>
      </c>
      <c r="B251" s="36" t="n">
        <v>46233</v>
      </c>
      <c r="C251" s="36" t="n">
        <v>46239</v>
      </c>
      <c r="D251" s="35" t="s">
        <v>46</v>
      </c>
      <c r="E251" s="35" t="s">
        <v>35</v>
      </c>
      <c r="F251" s="35" t="s">
        <v>15</v>
      </c>
      <c r="G251" s="35"/>
      <c r="H251" s="37" t="n">
        <f aca="false">IFERROR(VLOOKUP(D251,Settings!$A$5:$C$14,3,FALSE()),"")</f>
        <v>3</v>
      </c>
      <c r="I251" s="37" t="n">
        <f aca="false">IF(C251="","",C251-B251)</f>
        <v>6</v>
      </c>
      <c r="J251" s="38" t="str">
        <f aca="false">IF(I251="","",IF(I251&gt;H251,"Delayed","On Time"))</f>
        <v>Delayed</v>
      </c>
      <c r="K251" s="37" t="n">
        <f aca="false">IF(J251="Delayed",I251-H251,"")</f>
        <v>3</v>
      </c>
    </row>
    <row r="252" customFormat="false" ht="15" hidden="false" customHeight="false" outlineLevel="0" collapsed="false">
      <c r="A252" s="35" t="s">
        <v>316</v>
      </c>
      <c r="B252" s="36" t="n">
        <v>46233</v>
      </c>
      <c r="C252" s="36" t="n">
        <v>46237</v>
      </c>
      <c r="D252" s="35" t="s">
        <v>50</v>
      </c>
      <c r="E252" s="35" t="s">
        <v>36</v>
      </c>
      <c r="F252" s="35" t="s">
        <v>15</v>
      </c>
      <c r="G252" s="35"/>
      <c r="H252" s="37" t="n">
        <f aca="false">IFERROR(VLOOKUP(D252,Settings!$A$5:$C$14,3,FALSE()),"")</f>
        <v>3</v>
      </c>
      <c r="I252" s="37" t="n">
        <f aca="false">IF(C252="","",C252-B252)</f>
        <v>4</v>
      </c>
      <c r="J252" s="38" t="str">
        <f aca="false">IF(I252="","",IF(I252&gt;H252,"Delayed","On Time"))</f>
        <v>Delayed</v>
      </c>
      <c r="K252" s="37" t="n">
        <f aca="false">IF(J252="Delayed",I252-H252,"")</f>
        <v>1</v>
      </c>
    </row>
    <row r="253" customFormat="false" ht="15" hidden="false" customHeight="false" outlineLevel="0" collapsed="false">
      <c r="A253" s="35" t="s">
        <v>317</v>
      </c>
      <c r="B253" s="36" t="n">
        <v>46234</v>
      </c>
      <c r="C253" s="36" t="n">
        <v>46240</v>
      </c>
      <c r="D253" s="35" t="s">
        <v>55</v>
      </c>
      <c r="E253" s="35" t="s">
        <v>34</v>
      </c>
      <c r="F253" s="35" t="s">
        <v>15</v>
      </c>
      <c r="G253" s="35"/>
      <c r="H253" s="37" t="n">
        <f aca="false">IFERROR(VLOOKUP(D253,Settings!$A$5:$C$14,3,FALSE()),"")</f>
        <v>5</v>
      </c>
      <c r="I253" s="37" t="n">
        <f aca="false">IF(C253="","",C253-B253)</f>
        <v>6</v>
      </c>
      <c r="J253" s="38" t="str">
        <f aca="false">IF(I253="","",IF(I253&gt;H253,"Delayed","On Time"))</f>
        <v>Delayed</v>
      </c>
      <c r="K253" s="37" t="n">
        <f aca="false">IF(J253="Delayed",I253-H253,"")</f>
        <v>1</v>
      </c>
    </row>
    <row r="254" customFormat="false" ht="15" hidden="false" customHeight="false" outlineLevel="0" collapsed="false">
      <c r="A254" s="35" t="s">
        <v>318</v>
      </c>
      <c r="B254" s="36" t="n">
        <v>46234</v>
      </c>
      <c r="C254" s="36" t="n">
        <v>46240</v>
      </c>
      <c r="D254" s="35" t="s">
        <v>53</v>
      </c>
      <c r="E254" s="35" t="s">
        <v>36</v>
      </c>
      <c r="F254" s="35" t="s">
        <v>15</v>
      </c>
      <c r="G254" s="35"/>
      <c r="H254" s="37" t="n">
        <f aca="false">IFERROR(VLOOKUP(D254,Settings!$A$5:$C$14,3,FALSE()),"")</f>
        <v>5</v>
      </c>
      <c r="I254" s="37" t="n">
        <f aca="false">IF(C254="","",C254-B254)</f>
        <v>6</v>
      </c>
      <c r="J254" s="38" t="str">
        <f aca="false">IF(I254="","",IF(I254&gt;H254,"Delayed","On Time"))</f>
        <v>Delayed</v>
      </c>
      <c r="K254" s="37" t="n">
        <f aca="false">IF(J254="Delayed",I254-H254,"")</f>
        <v>1</v>
      </c>
    </row>
    <row r="255" customFormat="false" ht="15" hidden="false" customHeight="false" outlineLevel="0" collapsed="false">
      <c r="A255" s="35" t="s">
        <v>319</v>
      </c>
      <c r="B255" s="36" t="n">
        <v>46234</v>
      </c>
      <c r="C255" s="36" t="n">
        <v>46239</v>
      </c>
      <c r="D255" s="35" t="s">
        <v>46</v>
      </c>
      <c r="E255" s="35" t="s">
        <v>35</v>
      </c>
      <c r="F255" s="35" t="s">
        <v>15</v>
      </c>
      <c r="G255" s="35"/>
      <c r="H255" s="37" t="n">
        <f aca="false">IFERROR(VLOOKUP(D255,Settings!$A$5:$C$14,3,FALSE()),"")</f>
        <v>3</v>
      </c>
      <c r="I255" s="37" t="n">
        <f aca="false">IF(C255="","",C255-B255)</f>
        <v>5</v>
      </c>
      <c r="J255" s="38" t="str">
        <f aca="false">IF(I255="","",IF(I255&gt;H255,"Delayed","On Time"))</f>
        <v>Delayed</v>
      </c>
      <c r="K255" s="37" t="n">
        <f aca="false">IF(J255="Delayed",I255-H255,"")</f>
        <v>2</v>
      </c>
    </row>
    <row r="256" customFormat="false" ht="15" hidden="false" customHeight="false" outlineLevel="0" collapsed="false">
      <c r="A256" s="35" t="s">
        <v>320</v>
      </c>
      <c r="B256" s="36" t="n">
        <v>46234</v>
      </c>
      <c r="C256" s="36" t="n">
        <v>46237</v>
      </c>
      <c r="D256" s="35" t="s">
        <v>46</v>
      </c>
      <c r="E256" s="35" t="s">
        <v>34</v>
      </c>
      <c r="F256" s="35" t="s">
        <v>15</v>
      </c>
      <c r="G256" s="35"/>
      <c r="H256" s="37" t="n">
        <f aca="false">IFERROR(VLOOKUP(D256,Settings!$A$5:$C$14,3,FALSE()),"")</f>
        <v>3</v>
      </c>
      <c r="I256" s="37" t="n">
        <f aca="false">IF(C256="","",C256-B256)</f>
        <v>3</v>
      </c>
      <c r="J256" s="38" t="str">
        <f aca="false">IF(I256="","",IF(I256&gt;H256,"Delayed","On Time"))</f>
        <v>On Time</v>
      </c>
      <c r="K256" s="37" t="str">
        <f aca="false">IF(J256="Delayed",I256-H256,"")</f>
        <v/>
      </c>
    </row>
    <row r="257" customFormat="false" ht="15" hidden="false" customHeight="false" outlineLevel="0" collapsed="false">
      <c r="A257" s="35" t="s">
        <v>321</v>
      </c>
      <c r="B257" s="36" t="n">
        <v>46234</v>
      </c>
      <c r="C257" s="36" t="n">
        <v>46240</v>
      </c>
      <c r="D257" s="35" t="s">
        <v>52</v>
      </c>
      <c r="E257" s="35" t="s">
        <v>34</v>
      </c>
      <c r="F257" s="35" t="s">
        <v>15</v>
      </c>
      <c r="G257" s="35"/>
      <c r="H257" s="37" t="n">
        <f aca="false">IFERROR(VLOOKUP(D257,Settings!$A$5:$C$14,3,FALSE()),"")</f>
        <v>4</v>
      </c>
      <c r="I257" s="37" t="n">
        <f aca="false">IF(C257="","",C257-B257)</f>
        <v>6</v>
      </c>
      <c r="J257" s="38" t="str">
        <f aca="false">IF(I257="","",IF(I257&gt;H257,"Delayed","On Time"))</f>
        <v>Delayed</v>
      </c>
      <c r="K257" s="37" t="n">
        <f aca="false">IF(J257="Delayed",I257-H257,"")</f>
        <v>2</v>
      </c>
    </row>
    <row r="258" customFormat="false" ht="15" hidden="false" customHeight="false" outlineLevel="0" collapsed="false">
      <c r="A258" s="35" t="s">
        <v>322</v>
      </c>
      <c r="B258" s="36" t="n">
        <v>46234</v>
      </c>
      <c r="C258" s="36" t="n">
        <v>46241</v>
      </c>
      <c r="D258" s="35" t="s">
        <v>53</v>
      </c>
      <c r="E258" s="35" t="s">
        <v>33</v>
      </c>
      <c r="F258" s="35" t="s">
        <v>15</v>
      </c>
      <c r="G258" s="35"/>
      <c r="H258" s="37" t="n">
        <f aca="false">IFERROR(VLOOKUP(D258,Settings!$A$5:$C$14,3,FALSE()),"")</f>
        <v>5</v>
      </c>
      <c r="I258" s="37" t="n">
        <f aca="false">IF(C258="","",C258-B258)</f>
        <v>7</v>
      </c>
      <c r="J258" s="38" t="str">
        <f aca="false">IF(I258="","",IF(I258&gt;H258,"Delayed","On Time"))</f>
        <v>Delayed</v>
      </c>
      <c r="K258" s="37" t="n">
        <f aca="false">IF(J258="Delayed",I258-H258,"")</f>
        <v>2</v>
      </c>
    </row>
    <row r="259" customFormat="false" ht="15" hidden="false" customHeight="false" outlineLevel="0" collapsed="false">
      <c r="A259" s="35" t="s">
        <v>323</v>
      </c>
      <c r="B259" s="36" t="n">
        <v>46234</v>
      </c>
      <c r="C259" s="36" t="n">
        <v>46238</v>
      </c>
      <c r="D259" s="35" t="s">
        <v>50</v>
      </c>
      <c r="E259" s="35" t="s">
        <v>35</v>
      </c>
      <c r="F259" s="35" t="s">
        <v>15</v>
      </c>
      <c r="G259" s="35"/>
      <c r="H259" s="37" t="n">
        <f aca="false">IFERROR(VLOOKUP(D259,Settings!$A$5:$C$14,3,FALSE()),"")</f>
        <v>3</v>
      </c>
      <c r="I259" s="37" t="n">
        <f aca="false">IF(C259="","",C259-B259)</f>
        <v>4</v>
      </c>
      <c r="J259" s="38" t="str">
        <f aca="false">IF(I259="","",IF(I259&gt;H259,"Delayed","On Time"))</f>
        <v>Delayed</v>
      </c>
      <c r="K259" s="37" t="n">
        <f aca="false">IF(J259="Delayed",I259-H259,"")</f>
        <v>1</v>
      </c>
    </row>
    <row r="260" customFormat="false" ht="15" hidden="false" customHeight="false" outlineLevel="0" collapsed="false">
      <c r="A260" s="35" t="s">
        <v>324</v>
      </c>
      <c r="B260" s="36" t="n">
        <v>46234</v>
      </c>
      <c r="C260" s="36" t="n">
        <v>46238</v>
      </c>
      <c r="D260" s="35" t="s">
        <v>54</v>
      </c>
      <c r="E260" s="35" t="s">
        <v>33</v>
      </c>
      <c r="F260" s="35" t="s">
        <v>15</v>
      </c>
      <c r="G260" s="35"/>
      <c r="H260" s="37" t="n">
        <f aca="false">IFERROR(VLOOKUP(D260,Settings!$A$5:$C$14,3,FALSE()),"")</f>
        <v>5</v>
      </c>
      <c r="I260" s="37" t="n">
        <f aca="false">IF(C260="","",C260-B260)</f>
        <v>4</v>
      </c>
      <c r="J260" s="38" t="str">
        <f aca="false">IF(I260="","",IF(I260&gt;H260,"Delayed","On Time"))</f>
        <v>On Time</v>
      </c>
      <c r="K260" s="37" t="str">
        <f aca="false">IF(J260="Delayed",I260-H260,"")</f>
        <v/>
      </c>
    </row>
    <row r="261" customFormat="false" ht="15" hidden="false" customHeight="false" outlineLevel="0" collapsed="false">
      <c r="A261" s="35" t="s">
        <v>325</v>
      </c>
      <c r="B261" s="36" t="n">
        <v>46234</v>
      </c>
      <c r="C261" s="36" t="n">
        <v>46237</v>
      </c>
      <c r="D261" s="35" t="s">
        <v>46</v>
      </c>
      <c r="E261" s="35" t="s">
        <v>35</v>
      </c>
      <c r="F261" s="35" t="s">
        <v>15</v>
      </c>
      <c r="G261" s="35"/>
      <c r="H261" s="37" t="n">
        <f aca="false">IFERROR(VLOOKUP(D261,Settings!$A$5:$C$14,3,FALSE()),"")</f>
        <v>3</v>
      </c>
      <c r="I261" s="37" t="n">
        <f aca="false">IF(C261="","",C261-B261)</f>
        <v>3</v>
      </c>
      <c r="J261" s="38" t="str">
        <f aca="false">IF(I261="","",IF(I261&gt;H261,"Delayed","On Time"))</f>
        <v>On Time</v>
      </c>
      <c r="K261" s="37" t="str">
        <f aca="false">IF(J261="Delayed",I261-H261,"")</f>
        <v/>
      </c>
    </row>
    <row r="262" customFormat="false" ht="15" hidden="false" customHeight="false" outlineLevel="0" collapsed="false">
      <c r="A262" s="35" t="s">
        <v>326</v>
      </c>
      <c r="B262" s="36" t="n">
        <v>46234</v>
      </c>
      <c r="C262" s="36" t="n">
        <v>46238</v>
      </c>
      <c r="D262" s="35" t="s">
        <v>44</v>
      </c>
      <c r="E262" s="35" t="s">
        <v>34</v>
      </c>
      <c r="F262" s="35" t="s">
        <v>15</v>
      </c>
      <c r="G262" s="35"/>
      <c r="H262" s="37" t="n">
        <f aca="false">IFERROR(VLOOKUP(D262,Settings!$A$5:$C$14,3,FALSE()),"")</f>
        <v>3</v>
      </c>
      <c r="I262" s="37" t="n">
        <f aca="false">IF(C262="","",C262-B262)</f>
        <v>4</v>
      </c>
      <c r="J262" s="38" t="str">
        <f aca="false">IF(I262="","",IF(I262&gt;H262,"Delayed","On Time"))</f>
        <v>Delayed</v>
      </c>
      <c r="K262" s="37" t="n">
        <f aca="false">IF(J262="Delayed",I262-H262,"")</f>
        <v>1</v>
      </c>
    </row>
    <row r="263" customFormat="false" ht="15" hidden="false" customHeight="false" outlineLevel="0" collapsed="false">
      <c r="A263" s="35" t="s">
        <v>327</v>
      </c>
      <c r="B263" s="36" t="n">
        <v>46235</v>
      </c>
      <c r="C263" s="36" t="n">
        <v>46239</v>
      </c>
      <c r="D263" s="35" t="s">
        <v>50</v>
      </c>
      <c r="E263" s="35" t="s">
        <v>35</v>
      </c>
      <c r="F263" s="35" t="s">
        <v>17</v>
      </c>
      <c r="G263" s="35" t="s">
        <v>43</v>
      </c>
      <c r="H263" s="37" t="n">
        <f aca="false">IFERROR(VLOOKUP(D263,Settings!$A$5:$C$14,3,FALSE()),"")</f>
        <v>3</v>
      </c>
      <c r="I263" s="37" t="n">
        <f aca="false">IF(C263="","",C263-B263)</f>
        <v>4</v>
      </c>
      <c r="J263" s="38" t="str">
        <f aca="false">IF(I263="","",IF(I263&gt;H263,"Delayed","On Time"))</f>
        <v>Delayed</v>
      </c>
      <c r="K263" s="37" t="n">
        <f aca="false">IF(J263="Delayed",I263-H263,"")</f>
        <v>1</v>
      </c>
    </row>
    <row r="264" customFormat="false" ht="15" hidden="false" customHeight="false" outlineLevel="0" collapsed="false">
      <c r="A264" s="35" t="s">
        <v>328</v>
      </c>
      <c r="B264" s="36" t="n">
        <v>46235</v>
      </c>
      <c r="C264" s="36" t="n">
        <v>46237</v>
      </c>
      <c r="D264" s="35" t="s">
        <v>44</v>
      </c>
      <c r="E264" s="35" t="s">
        <v>35</v>
      </c>
      <c r="F264" s="35" t="s">
        <v>15</v>
      </c>
      <c r="G264" s="35"/>
      <c r="H264" s="37" t="n">
        <f aca="false">IFERROR(VLOOKUP(D264,Settings!$A$5:$C$14,3,FALSE()),"")</f>
        <v>3</v>
      </c>
      <c r="I264" s="37" t="n">
        <f aca="false">IF(C264="","",C264-B264)</f>
        <v>2</v>
      </c>
      <c r="J264" s="38" t="str">
        <f aca="false">IF(I264="","",IF(I264&gt;H264,"Delayed","On Time"))</f>
        <v>On Time</v>
      </c>
      <c r="K264" s="37" t="str">
        <f aca="false">IF(J264="Delayed",I264-H264,"")</f>
        <v/>
      </c>
    </row>
    <row r="265" customFormat="false" ht="15" hidden="false" customHeight="false" outlineLevel="0" collapsed="false">
      <c r="A265" s="35" t="s">
        <v>329</v>
      </c>
      <c r="B265" s="36" t="n">
        <v>46235</v>
      </c>
      <c r="C265" s="36" t="n">
        <v>46239</v>
      </c>
      <c r="D265" s="35" t="s">
        <v>46</v>
      </c>
      <c r="E265" s="35" t="s">
        <v>36</v>
      </c>
      <c r="F265" s="35" t="s">
        <v>15</v>
      </c>
      <c r="G265" s="35"/>
      <c r="H265" s="37" t="n">
        <f aca="false">IFERROR(VLOOKUP(D265,Settings!$A$5:$C$14,3,FALSE()),"")</f>
        <v>3</v>
      </c>
      <c r="I265" s="37" t="n">
        <f aca="false">IF(C265="","",C265-B265)</f>
        <v>4</v>
      </c>
      <c r="J265" s="38" t="str">
        <f aca="false">IF(I265="","",IF(I265&gt;H265,"Delayed","On Time"))</f>
        <v>Delayed</v>
      </c>
      <c r="K265" s="37" t="n">
        <f aca="false">IF(J265="Delayed",I265-H265,"")</f>
        <v>1</v>
      </c>
    </row>
    <row r="266" customFormat="false" ht="15" hidden="false" customHeight="false" outlineLevel="0" collapsed="false">
      <c r="A266" s="35" t="s">
        <v>330</v>
      </c>
      <c r="B266" s="36" t="n">
        <v>46235</v>
      </c>
      <c r="C266" s="36" t="n">
        <v>46239</v>
      </c>
      <c r="D266" s="35" t="s">
        <v>54</v>
      </c>
      <c r="E266" s="35" t="s">
        <v>36</v>
      </c>
      <c r="F266" s="35" t="s">
        <v>15</v>
      </c>
      <c r="G266" s="35"/>
      <c r="H266" s="37" t="n">
        <f aca="false">IFERROR(VLOOKUP(D266,Settings!$A$5:$C$14,3,FALSE()),"")</f>
        <v>5</v>
      </c>
      <c r="I266" s="37" t="n">
        <f aca="false">IF(C266="","",C266-B266)</f>
        <v>4</v>
      </c>
      <c r="J266" s="38" t="str">
        <f aca="false">IF(I266="","",IF(I266&gt;H266,"Delayed","On Time"))</f>
        <v>On Time</v>
      </c>
      <c r="K266" s="37" t="str">
        <f aca="false">IF(J266="Delayed",I266-H266,"")</f>
        <v/>
      </c>
    </row>
    <row r="267" customFormat="false" ht="15" hidden="false" customHeight="false" outlineLevel="0" collapsed="false">
      <c r="A267" s="35" t="s">
        <v>331</v>
      </c>
      <c r="B267" s="36" t="n">
        <v>46235</v>
      </c>
      <c r="C267" s="36" t="n">
        <v>46239</v>
      </c>
      <c r="D267" s="35" t="s">
        <v>46</v>
      </c>
      <c r="E267" s="35" t="s">
        <v>36</v>
      </c>
      <c r="F267" s="35" t="s">
        <v>17</v>
      </c>
      <c r="G267" s="35" t="s">
        <v>51</v>
      </c>
      <c r="H267" s="37" t="n">
        <f aca="false">IFERROR(VLOOKUP(D267,Settings!$A$5:$C$14,3,FALSE()),"")</f>
        <v>3</v>
      </c>
      <c r="I267" s="37" t="n">
        <f aca="false">IF(C267="","",C267-B267)</f>
        <v>4</v>
      </c>
      <c r="J267" s="38" t="str">
        <f aca="false">IF(I267="","",IF(I267&gt;H267,"Delayed","On Time"))</f>
        <v>Delayed</v>
      </c>
      <c r="K267" s="37" t="n">
        <f aca="false">IF(J267="Delayed",I267-H267,"")</f>
        <v>1</v>
      </c>
    </row>
    <row r="268" customFormat="false" ht="15" hidden="false" customHeight="false" outlineLevel="0" collapsed="false">
      <c r="A268" s="35" t="s">
        <v>332</v>
      </c>
      <c r="B268" s="36" t="n">
        <v>46235</v>
      </c>
      <c r="C268" s="36" t="n">
        <v>46237</v>
      </c>
      <c r="D268" s="35" t="s">
        <v>46</v>
      </c>
      <c r="E268" s="35" t="s">
        <v>34</v>
      </c>
      <c r="F268" s="35" t="s">
        <v>15</v>
      </c>
      <c r="G268" s="35"/>
      <c r="H268" s="37" t="n">
        <f aca="false">IFERROR(VLOOKUP(D268,Settings!$A$5:$C$14,3,FALSE()),"")</f>
        <v>3</v>
      </c>
      <c r="I268" s="37" t="n">
        <f aca="false">IF(C268="","",C268-B268)</f>
        <v>2</v>
      </c>
      <c r="J268" s="38" t="str">
        <f aca="false">IF(I268="","",IF(I268&gt;H268,"Delayed","On Time"))</f>
        <v>On Time</v>
      </c>
      <c r="K268" s="37" t="str">
        <f aca="false">IF(J268="Delayed",I268-H268,"")</f>
        <v/>
      </c>
    </row>
    <row r="269" customFormat="false" ht="15" hidden="false" customHeight="false" outlineLevel="0" collapsed="false">
      <c r="A269" s="35" t="s">
        <v>333</v>
      </c>
      <c r="B269" s="36" t="n">
        <v>46235</v>
      </c>
      <c r="C269" s="36" t="n">
        <v>46237</v>
      </c>
      <c r="D269" s="35" t="s">
        <v>48</v>
      </c>
      <c r="E269" s="35" t="s">
        <v>33</v>
      </c>
      <c r="F269" s="35" t="s">
        <v>15</v>
      </c>
      <c r="G269" s="35"/>
      <c r="H269" s="37" t="n">
        <f aca="false">IFERROR(VLOOKUP(D269,Settings!$A$5:$C$14,3,FALSE()),"")</f>
        <v>3</v>
      </c>
      <c r="I269" s="37" t="n">
        <f aca="false">IF(C269="","",C269-B269)</f>
        <v>2</v>
      </c>
      <c r="J269" s="38" t="str">
        <f aca="false">IF(I269="","",IF(I269&gt;H269,"Delayed","On Time"))</f>
        <v>On Time</v>
      </c>
      <c r="K269" s="37" t="str">
        <f aca="false">IF(J269="Delayed",I269-H269,"")</f>
        <v/>
      </c>
    </row>
    <row r="270" customFormat="false" ht="15" hidden="false" customHeight="false" outlineLevel="0" collapsed="false">
      <c r="A270" s="35" t="s">
        <v>334</v>
      </c>
      <c r="B270" s="36" t="n">
        <v>46235</v>
      </c>
      <c r="C270" s="36" t="n">
        <v>46239</v>
      </c>
      <c r="D270" s="35" t="s">
        <v>44</v>
      </c>
      <c r="E270" s="35" t="s">
        <v>34</v>
      </c>
      <c r="F270" s="35" t="s">
        <v>15</v>
      </c>
      <c r="G270" s="35"/>
      <c r="H270" s="37" t="n">
        <f aca="false">IFERROR(VLOOKUP(D270,Settings!$A$5:$C$14,3,FALSE()),"")</f>
        <v>3</v>
      </c>
      <c r="I270" s="37" t="n">
        <f aca="false">IF(C270="","",C270-B270)</f>
        <v>4</v>
      </c>
      <c r="J270" s="38" t="str">
        <f aca="false">IF(I270="","",IF(I270&gt;H270,"Delayed","On Time"))</f>
        <v>Delayed</v>
      </c>
      <c r="K270" s="37" t="n">
        <f aca="false">IF(J270="Delayed",I270-H270,"")</f>
        <v>1</v>
      </c>
    </row>
    <row r="271" customFormat="false" ht="15" hidden="false" customHeight="false" outlineLevel="0" collapsed="false">
      <c r="A271" s="35" t="s">
        <v>335</v>
      </c>
      <c r="B271" s="36" t="n">
        <v>46235</v>
      </c>
      <c r="C271" s="36" t="n">
        <v>46238</v>
      </c>
      <c r="D271" s="35" t="s">
        <v>54</v>
      </c>
      <c r="E271" s="35" t="s">
        <v>33</v>
      </c>
      <c r="F271" s="35" t="s">
        <v>15</v>
      </c>
      <c r="G271" s="35"/>
      <c r="H271" s="37" t="n">
        <f aca="false">IFERROR(VLOOKUP(D271,Settings!$A$5:$C$14,3,FALSE()),"")</f>
        <v>5</v>
      </c>
      <c r="I271" s="37" t="n">
        <f aca="false">IF(C271="","",C271-B271)</f>
        <v>3</v>
      </c>
      <c r="J271" s="38" t="str">
        <f aca="false">IF(I271="","",IF(I271&gt;H271,"Delayed","On Time"))</f>
        <v>On Time</v>
      </c>
      <c r="K271" s="37" t="str">
        <f aca="false">IF(J271="Delayed",I271-H271,"")</f>
        <v/>
      </c>
    </row>
    <row r="272" customFormat="false" ht="15" hidden="false" customHeight="false" outlineLevel="0" collapsed="false">
      <c r="A272" s="35" t="s">
        <v>336</v>
      </c>
      <c r="B272" s="36" t="n">
        <v>46235</v>
      </c>
      <c r="C272" s="36"/>
      <c r="D272" s="35" t="s">
        <v>48</v>
      </c>
      <c r="E272" s="35" t="s">
        <v>35</v>
      </c>
      <c r="F272" s="35" t="s">
        <v>18</v>
      </c>
      <c r="G272" s="35" t="s">
        <v>45</v>
      </c>
      <c r="H272" s="37" t="n">
        <f aca="false">IFERROR(VLOOKUP(D272,Settings!$A$5:$C$14,3,FALSE()),"")</f>
        <v>3</v>
      </c>
      <c r="I272" s="37" t="str">
        <f aca="false">IF(C272="","",C272-B272)</f>
        <v/>
      </c>
      <c r="J272" s="38" t="str">
        <f aca="false">IF(I272="","",IF(I272&gt;H272,"Delayed","On Time"))</f>
        <v/>
      </c>
      <c r="K272" s="37" t="str">
        <f aca="false">IF(J272="Delayed",I272-H272,"")</f>
        <v/>
      </c>
    </row>
    <row r="273" customFormat="false" ht="15" hidden="false" customHeight="false" outlineLevel="0" collapsed="false">
      <c r="A273" s="35" t="s">
        <v>337</v>
      </c>
      <c r="B273" s="36" t="n">
        <v>46235</v>
      </c>
      <c r="C273" s="36" t="n">
        <v>46238</v>
      </c>
      <c r="D273" s="35" t="s">
        <v>44</v>
      </c>
      <c r="E273" s="35" t="s">
        <v>34</v>
      </c>
      <c r="F273" s="35" t="s">
        <v>17</v>
      </c>
      <c r="G273" s="35" t="s">
        <v>43</v>
      </c>
      <c r="H273" s="37" t="n">
        <f aca="false">IFERROR(VLOOKUP(D273,Settings!$A$5:$C$14,3,FALSE()),"")</f>
        <v>3</v>
      </c>
      <c r="I273" s="37" t="n">
        <f aca="false">IF(C273="","",C273-B273)</f>
        <v>3</v>
      </c>
      <c r="J273" s="38" t="str">
        <f aca="false">IF(I273="","",IF(I273&gt;H273,"Delayed","On Time"))</f>
        <v>On Time</v>
      </c>
      <c r="K273" s="37" t="str">
        <f aca="false">IF(J273="Delayed",I273-H273,"")</f>
        <v/>
      </c>
    </row>
    <row r="274" customFormat="false" ht="15" hidden="false" customHeight="false" outlineLevel="0" collapsed="false">
      <c r="A274" s="35" t="s">
        <v>338</v>
      </c>
      <c r="B274" s="36" t="n">
        <v>46236</v>
      </c>
      <c r="C274" s="36" t="n">
        <v>46239</v>
      </c>
      <c r="D274" s="35" t="s">
        <v>55</v>
      </c>
      <c r="E274" s="35" t="s">
        <v>35</v>
      </c>
      <c r="F274" s="35" t="s">
        <v>15</v>
      </c>
      <c r="G274" s="35"/>
      <c r="H274" s="37" t="n">
        <f aca="false">IFERROR(VLOOKUP(D274,Settings!$A$5:$C$14,3,FALSE()),"")</f>
        <v>5</v>
      </c>
      <c r="I274" s="37" t="n">
        <f aca="false">IF(C274="","",C274-B274)</f>
        <v>3</v>
      </c>
      <c r="J274" s="38" t="str">
        <f aca="false">IF(I274="","",IF(I274&gt;H274,"Delayed","On Time"))</f>
        <v>On Time</v>
      </c>
      <c r="K274" s="37" t="str">
        <f aca="false">IF(J274="Delayed",I274-H274,"")</f>
        <v/>
      </c>
    </row>
    <row r="275" customFormat="false" ht="15" hidden="false" customHeight="false" outlineLevel="0" collapsed="false">
      <c r="A275" s="35" t="s">
        <v>339</v>
      </c>
      <c r="B275" s="36" t="n">
        <v>46236</v>
      </c>
      <c r="C275" s="36" t="n">
        <v>46240</v>
      </c>
      <c r="D275" s="35" t="s">
        <v>48</v>
      </c>
      <c r="E275" s="35" t="s">
        <v>33</v>
      </c>
      <c r="F275" s="35" t="s">
        <v>15</v>
      </c>
      <c r="G275" s="35"/>
      <c r="H275" s="37" t="n">
        <f aca="false">IFERROR(VLOOKUP(D275,Settings!$A$5:$C$14,3,FALSE()),"")</f>
        <v>3</v>
      </c>
      <c r="I275" s="37" t="n">
        <f aca="false">IF(C275="","",C275-B275)</f>
        <v>4</v>
      </c>
      <c r="J275" s="38" t="str">
        <f aca="false">IF(I275="","",IF(I275&gt;H275,"Delayed","On Time"))</f>
        <v>Delayed</v>
      </c>
      <c r="K275" s="37" t="n">
        <f aca="false">IF(J275="Delayed",I275-H275,"")</f>
        <v>1</v>
      </c>
    </row>
    <row r="276" customFormat="false" ht="15" hidden="false" customHeight="false" outlineLevel="0" collapsed="false">
      <c r="A276" s="35" t="s">
        <v>340</v>
      </c>
      <c r="B276" s="36" t="n">
        <v>46236</v>
      </c>
      <c r="C276" s="36" t="n">
        <v>46239</v>
      </c>
      <c r="D276" s="35" t="s">
        <v>50</v>
      </c>
      <c r="E276" s="35" t="s">
        <v>35</v>
      </c>
      <c r="F276" s="35" t="s">
        <v>15</v>
      </c>
      <c r="G276" s="35"/>
      <c r="H276" s="37" t="n">
        <f aca="false">IFERROR(VLOOKUP(D276,Settings!$A$5:$C$14,3,FALSE()),"")</f>
        <v>3</v>
      </c>
      <c r="I276" s="37" t="n">
        <f aca="false">IF(C276="","",C276-B276)</f>
        <v>3</v>
      </c>
      <c r="J276" s="38" t="str">
        <f aca="false">IF(I276="","",IF(I276&gt;H276,"Delayed","On Time"))</f>
        <v>On Time</v>
      </c>
      <c r="K276" s="37" t="str">
        <f aca="false">IF(J276="Delayed",I276-H276,"")</f>
        <v/>
      </c>
    </row>
    <row r="277" customFormat="false" ht="15" hidden="false" customHeight="false" outlineLevel="0" collapsed="false">
      <c r="A277" s="35" t="s">
        <v>341</v>
      </c>
      <c r="B277" s="36" t="n">
        <v>46236</v>
      </c>
      <c r="C277" s="36" t="n">
        <v>46239</v>
      </c>
      <c r="D277" s="35" t="s">
        <v>48</v>
      </c>
      <c r="E277" s="35" t="s">
        <v>34</v>
      </c>
      <c r="F277" s="35" t="s">
        <v>15</v>
      </c>
      <c r="G277" s="35"/>
      <c r="H277" s="37" t="n">
        <f aca="false">IFERROR(VLOOKUP(D277,Settings!$A$5:$C$14,3,FALSE()),"")</f>
        <v>3</v>
      </c>
      <c r="I277" s="37" t="n">
        <f aca="false">IF(C277="","",C277-B277)</f>
        <v>3</v>
      </c>
      <c r="J277" s="38" t="str">
        <f aca="false">IF(I277="","",IF(I277&gt;H277,"Delayed","On Time"))</f>
        <v>On Time</v>
      </c>
      <c r="K277" s="37" t="str">
        <f aca="false">IF(J277="Delayed",I277-H277,"")</f>
        <v/>
      </c>
    </row>
    <row r="278" customFormat="false" ht="15" hidden="false" customHeight="false" outlineLevel="0" collapsed="false">
      <c r="A278" s="35" t="s">
        <v>342</v>
      </c>
      <c r="B278" s="36" t="n">
        <v>46236</v>
      </c>
      <c r="C278" s="36" t="n">
        <v>46237</v>
      </c>
      <c r="D278" s="35" t="s">
        <v>50</v>
      </c>
      <c r="E278" s="35" t="s">
        <v>34</v>
      </c>
      <c r="F278" s="35" t="s">
        <v>15</v>
      </c>
      <c r="G278" s="35"/>
      <c r="H278" s="37" t="n">
        <f aca="false">IFERROR(VLOOKUP(D278,Settings!$A$5:$C$14,3,FALSE()),"")</f>
        <v>3</v>
      </c>
      <c r="I278" s="37" t="n">
        <f aca="false">IF(C278="","",C278-B278)</f>
        <v>1</v>
      </c>
      <c r="J278" s="38" t="str">
        <f aca="false">IF(I278="","",IF(I278&gt;H278,"Delayed","On Time"))</f>
        <v>On Time</v>
      </c>
      <c r="K278" s="37" t="str">
        <f aca="false">IF(J278="Delayed",I278-H278,"")</f>
        <v/>
      </c>
    </row>
    <row r="279" customFormat="false" ht="15" hidden="false" customHeight="false" outlineLevel="0" collapsed="false">
      <c r="A279" s="35" t="s">
        <v>343</v>
      </c>
      <c r="B279" s="36" t="n">
        <v>46236</v>
      </c>
      <c r="C279" s="36"/>
      <c r="D279" s="35" t="s">
        <v>48</v>
      </c>
      <c r="E279" s="35" t="s">
        <v>33</v>
      </c>
      <c r="F279" s="35" t="s">
        <v>18</v>
      </c>
      <c r="G279" s="35" t="s">
        <v>47</v>
      </c>
      <c r="H279" s="37" t="n">
        <f aca="false">IFERROR(VLOOKUP(D279,Settings!$A$5:$C$14,3,FALSE()),"")</f>
        <v>3</v>
      </c>
      <c r="I279" s="37" t="str">
        <f aca="false">IF(C279="","",C279-B279)</f>
        <v/>
      </c>
      <c r="J279" s="38" t="str">
        <f aca="false">IF(I279="","",IF(I279&gt;H279,"Delayed","On Time"))</f>
        <v/>
      </c>
      <c r="K279" s="37" t="str">
        <f aca="false">IF(J279="Delayed",I279-H279,"")</f>
        <v/>
      </c>
    </row>
    <row r="280" customFormat="false" ht="15" hidden="false" customHeight="false" outlineLevel="0" collapsed="false">
      <c r="A280" s="35" t="s">
        <v>344</v>
      </c>
      <c r="B280" s="36" t="n">
        <v>46236</v>
      </c>
      <c r="C280" s="36" t="n">
        <v>46239</v>
      </c>
      <c r="D280" s="35" t="s">
        <v>50</v>
      </c>
      <c r="E280" s="35" t="s">
        <v>33</v>
      </c>
      <c r="F280" s="35" t="s">
        <v>15</v>
      </c>
      <c r="G280" s="35"/>
      <c r="H280" s="37" t="n">
        <f aca="false">IFERROR(VLOOKUP(D280,Settings!$A$5:$C$14,3,FALSE()),"")</f>
        <v>3</v>
      </c>
      <c r="I280" s="37" t="n">
        <f aca="false">IF(C280="","",C280-B280)</f>
        <v>3</v>
      </c>
      <c r="J280" s="38" t="str">
        <f aca="false">IF(I280="","",IF(I280&gt;H280,"Delayed","On Time"))</f>
        <v>On Time</v>
      </c>
      <c r="K280" s="37" t="str">
        <f aca="false">IF(J280="Delayed",I280-H280,"")</f>
        <v/>
      </c>
    </row>
    <row r="281" customFormat="false" ht="15" hidden="false" customHeight="false" outlineLevel="0" collapsed="false">
      <c r="A281" s="35" t="s">
        <v>345</v>
      </c>
      <c r="B281" s="36" t="n">
        <v>46236</v>
      </c>
      <c r="C281" s="36" t="n">
        <v>46241</v>
      </c>
      <c r="D281" s="35" t="s">
        <v>50</v>
      </c>
      <c r="E281" s="35" t="s">
        <v>34</v>
      </c>
      <c r="F281" s="35" t="s">
        <v>15</v>
      </c>
      <c r="G281" s="35"/>
      <c r="H281" s="37" t="n">
        <f aca="false">IFERROR(VLOOKUP(D281,Settings!$A$5:$C$14,3,FALSE()),"")</f>
        <v>3</v>
      </c>
      <c r="I281" s="37" t="n">
        <f aca="false">IF(C281="","",C281-B281)</f>
        <v>5</v>
      </c>
      <c r="J281" s="38" t="str">
        <f aca="false">IF(I281="","",IF(I281&gt;H281,"Delayed","On Time"))</f>
        <v>Delayed</v>
      </c>
      <c r="K281" s="37" t="n">
        <f aca="false">IF(J281="Delayed",I281-H281,"")</f>
        <v>2</v>
      </c>
    </row>
    <row r="282" customFormat="false" ht="15" hidden="false" customHeight="false" outlineLevel="0" collapsed="false">
      <c r="A282" s="35" t="s">
        <v>346</v>
      </c>
      <c r="B282" s="36" t="n">
        <v>46236</v>
      </c>
      <c r="C282" s="36" t="n">
        <v>46242</v>
      </c>
      <c r="D282" s="35" t="s">
        <v>52</v>
      </c>
      <c r="E282" s="35" t="s">
        <v>35</v>
      </c>
      <c r="F282" s="35" t="s">
        <v>15</v>
      </c>
      <c r="G282" s="35"/>
      <c r="H282" s="37" t="n">
        <f aca="false">IFERROR(VLOOKUP(D282,Settings!$A$5:$C$14,3,FALSE()),"")</f>
        <v>4</v>
      </c>
      <c r="I282" s="37" t="n">
        <f aca="false">IF(C282="","",C282-B282)</f>
        <v>6</v>
      </c>
      <c r="J282" s="38" t="str">
        <f aca="false">IF(I282="","",IF(I282&gt;H282,"Delayed","On Time"))</f>
        <v>Delayed</v>
      </c>
      <c r="K282" s="37" t="n">
        <f aca="false">IF(J282="Delayed",I282-H282,"")</f>
        <v>2</v>
      </c>
    </row>
    <row r="283" customFormat="false" ht="15" hidden="false" customHeight="false" outlineLevel="0" collapsed="false">
      <c r="A283" s="35" t="s">
        <v>347</v>
      </c>
      <c r="B283" s="36" t="n">
        <v>46236</v>
      </c>
      <c r="C283" s="36" t="n">
        <v>46239</v>
      </c>
      <c r="D283" s="35" t="s">
        <v>46</v>
      </c>
      <c r="E283" s="35" t="s">
        <v>34</v>
      </c>
      <c r="F283" s="35" t="s">
        <v>15</v>
      </c>
      <c r="G283" s="35"/>
      <c r="H283" s="37" t="n">
        <f aca="false">IFERROR(VLOOKUP(D283,Settings!$A$5:$C$14,3,FALSE()),"")</f>
        <v>3</v>
      </c>
      <c r="I283" s="37" t="n">
        <f aca="false">IF(C283="","",C283-B283)</f>
        <v>3</v>
      </c>
      <c r="J283" s="38" t="str">
        <f aca="false">IF(I283="","",IF(I283&gt;H283,"Delayed","On Time"))</f>
        <v>On Time</v>
      </c>
      <c r="K283" s="37" t="str">
        <f aca="false">IF(J283="Delayed",I283-H283,"")</f>
        <v/>
      </c>
    </row>
    <row r="284" customFormat="false" ht="15" hidden="false" customHeight="false" outlineLevel="0" collapsed="false">
      <c r="A284" s="35" t="s">
        <v>348</v>
      </c>
      <c r="B284" s="36" t="n">
        <v>46236</v>
      </c>
      <c r="C284" s="36" t="n">
        <v>46239</v>
      </c>
      <c r="D284" s="35" t="s">
        <v>50</v>
      </c>
      <c r="E284" s="35" t="s">
        <v>33</v>
      </c>
      <c r="F284" s="35" t="s">
        <v>15</v>
      </c>
      <c r="G284" s="35"/>
      <c r="H284" s="37" t="n">
        <f aca="false">IFERROR(VLOOKUP(D284,Settings!$A$5:$C$14,3,FALSE()),"")</f>
        <v>3</v>
      </c>
      <c r="I284" s="37" t="n">
        <f aca="false">IF(C284="","",C284-B284)</f>
        <v>3</v>
      </c>
      <c r="J284" s="38" t="str">
        <f aca="false">IF(I284="","",IF(I284&gt;H284,"Delayed","On Time"))</f>
        <v>On Time</v>
      </c>
      <c r="K284" s="37" t="str">
        <f aca="false">IF(J284="Delayed",I284-H284,"")</f>
        <v/>
      </c>
    </row>
    <row r="285" customFormat="false" ht="15" hidden="false" customHeight="false" outlineLevel="0" collapsed="false">
      <c r="A285" s="35" t="s">
        <v>349</v>
      </c>
      <c r="B285" s="36" t="n">
        <v>46236</v>
      </c>
      <c r="C285" s="36" t="n">
        <v>46239</v>
      </c>
      <c r="D285" s="35" t="s">
        <v>50</v>
      </c>
      <c r="E285" s="35" t="s">
        <v>35</v>
      </c>
      <c r="F285" s="35" t="s">
        <v>15</v>
      </c>
      <c r="G285" s="35"/>
      <c r="H285" s="37" t="n">
        <f aca="false">IFERROR(VLOOKUP(D285,Settings!$A$5:$C$14,3,FALSE()),"")</f>
        <v>3</v>
      </c>
      <c r="I285" s="37" t="n">
        <f aca="false">IF(C285="","",C285-B285)</f>
        <v>3</v>
      </c>
      <c r="J285" s="38" t="str">
        <f aca="false">IF(I285="","",IF(I285&gt;H285,"Delayed","On Time"))</f>
        <v>On Time</v>
      </c>
      <c r="K285" s="37" t="str">
        <f aca="false">IF(J285="Delayed",I285-H285,"")</f>
        <v/>
      </c>
    </row>
    <row r="286" customFormat="false" ht="15" hidden="false" customHeight="false" outlineLevel="0" collapsed="false">
      <c r="A286" s="35" t="s">
        <v>350</v>
      </c>
      <c r="B286" s="36" t="n">
        <v>46236</v>
      </c>
      <c r="C286" s="36" t="n">
        <v>46241</v>
      </c>
      <c r="D286" s="35" t="s">
        <v>56</v>
      </c>
      <c r="E286" s="35" t="s">
        <v>33</v>
      </c>
      <c r="F286" s="35" t="s">
        <v>15</v>
      </c>
      <c r="G286" s="35"/>
      <c r="H286" s="37" t="n">
        <f aca="false">IFERROR(VLOOKUP(D286,Settings!$A$5:$C$14,3,FALSE()),"")</f>
        <v>6</v>
      </c>
      <c r="I286" s="37" t="n">
        <f aca="false">IF(C286="","",C286-B286)</f>
        <v>5</v>
      </c>
      <c r="J286" s="38" t="str">
        <f aca="false">IF(I286="","",IF(I286&gt;H286,"Delayed","On Time"))</f>
        <v>On Time</v>
      </c>
      <c r="K286" s="37" t="str">
        <f aca="false">IF(J286="Delayed",I286-H286,"")</f>
        <v/>
      </c>
    </row>
    <row r="287" customFormat="false" ht="15" hidden="false" customHeight="false" outlineLevel="0" collapsed="false">
      <c r="A287" s="35" t="s">
        <v>351</v>
      </c>
      <c r="B287" s="36" t="n">
        <v>46237</v>
      </c>
      <c r="C287" s="36" t="n">
        <v>46241</v>
      </c>
      <c r="D287" s="35" t="s">
        <v>48</v>
      </c>
      <c r="E287" s="35" t="s">
        <v>34</v>
      </c>
      <c r="F287" s="35" t="s">
        <v>15</v>
      </c>
      <c r="G287" s="35"/>
      <c r="H287" s="37" t="n">
        <f aca="false">IFERROR(VLOOKUP(D287,Settings!$A$5:$C$14,3,FALSE()),"")</f>
        <v>3</v>
      </c>
      <c r="I287" s="37" t="n">
        <f aca="false">IF(C287="","",C287-B287)</f>
        <v>4</v>
      </c>
      <c r="J287" s="38" t="str">
        <f aca="false">IF(I287="","",IF(I287&gt;H287,"Delayed","On Time"))</f>
        <v>Delayed</v>
      </c>
      <c r="K287" s="37" t="n">
        <f aca="false">IF(J287="Delayed",I287-H287,"")</f>
        <v>1</v>
      </c>
    </row>
    <row r="288" customFormat="false" ht="15" hidden="false" customHeight="false" outlineLevel="0" collapsed="false">
      <c r="A288" s="35" t="s">
        <v>352</v>
      </c>
      <c r="B288" s="36" t="n">
        <v>46237</v>
      </c>
      <c r="C288" s="36" t="n">
        <v>46238</v>
      </c>
      <c r="D288" s="35" t="s">
        <v>46</v>
      </c>
      <c r="E288" s="35" t="s">
        <v>34</v>
      </c>
      <c r="F288" s="35" t="s">
        <v>15</v>
      </c>
      <c r="G288" s="35"/>
      <c r="H288" s="37" t="n">
        <f aca="false">IFERROR(VLOOKUP(D288,Settings!$A$5:$C$14,3,FALSE()),"")</f>
        <v>3</v>
      </c>
      <c r="I288" s="37" t="n">
        <f aca="false">IF(C288="","",C288-B288)</f>
        <v>1</v>
      </c>
      <c r="J288" s="38" t="str">
        <f aca="false">IF(I288="","",IF(I288&gt;H288,"Delayed","On Time"))</f>
        <v>On Time</v>
      </c>
      <c r="K288" s="37" t="str">
        <f aca="false">IF(J288="Delayed",I288-H288,"")</f>
        <v/>
      </c>
    </row>
    <row r="289" customFormat="false" ht="15" hidden="false" customHeight="false" outlineLevel="0" collapsed="false">
      <c r="A289" s="35" t="s">
        <v>353</v>
      </c>
      <c r="B289" s="36" t="n">
        <v>46237</v>
      </c>
      <c r="C289" s="36" t="n">
        <v>46241</v>
      </c>
      <c r="D289" s="35" t="s">
        <v>46</v>
      </c>
      <c r="E289" s="35" t="s">
        <v>36</v>
      </c>
      <c r="F289" s="35" t="s">
        <v>15</v>
      </c>
      <c r="G289" s="35"/>
      <c r="H289" s="37" t="n">
        <f aca="false">IFERROR(VLOOKUP(D289,Settings!$A$5:$C$14,3,FALSE()),"")</f>
        <v>3</v>
      </c>
      <c r="I289" s="37" t="n">
        <f aca="false">IF(C289="","",C289-B289)</f>
        <v>4</v>
      </c>
      <c r="J289" s="38" t="str">
        <f aca="false">IF(I289="","",IF(I289&gt;H289,"Delayed","On Time"))</f>
        <v>Delayed</v>
      </c>
      <c r="K289" s="37" t="n">
        <f aca="false">IF(J289="Delayed",I289-H289,"")</f>
        <v>1</v>
      </c>
    </row>
    <row r="290" customFormat="false" ht="15" hidden="false" customHeight="false" outlineLevel="0" collapsed="false">
      <c r="A290" s="35" t="s">
        <v>354</v>
      </c>
      <c r="B290" s="36" t="n">
        <v>46237</v>
      </c>
      <c r="C290" s="36" t="n">
        <v>46240</v>
      </c>
      <c r="D290" s="35" t="s">
        <v>44</v>
      </c>
      <c r="E290" s="35" t="s">
        <v>34</v>
      </c>
      <c r="F290" s="35" t="s">
        <v>17</v>
      </c>
      <c r="G290" s="35" t="s">
        <v>49</v>
      </c>
      <c r="H290" s="37" t="n">
        <f aca="false">IFERROR(VLOOKUP(D290,Settings!$A$5:$C$14,3,FALSE()),"")</f>
        <v>3</v>
      </c>
      <c r="I290" s="37" t="n">
        <f aca="false">IF(C290="","",C290-B290)</f>
        <v>3</v>
      </c>
      <c r="J290" s="38" t="str">
        <f aca="false">IF(I290="","",IF(I290&gt;H290,"Delayed","On Time"))</f>
        <v>On Time</v>
      </c>
      <c r="K290" s="37" t="str">
        <f aca="false">IF(J290="Delayed",I290-H290,"")</f>
        <v/>
      </c>
    </row>
    <row r="291" customFormat="false" ht="15" hidden="false" customHeight="false" outlineLevel="0" collapsed="false">
      <c r="A291" s="35" t="s">
        <v>355</v>
      </c>
      <c r="B291" s="36" t="n">
        <v>46237</v>
      </c>
      <c r="C291" s="36" t="n">
        <v>46239</v>
      </c>
      <c r="D291" s="35" t="s">
        <v>46</v>
      </c>
      <c r="E291" s="35" t="s">
        <v>33</v>
      </c>
      <c r="F291" s="35" t="s">
        <v>15</v>
      </c>
      <c r="G291" s="35"/>
      <c r="H291" s="37" t="n">
        <f aca="false">IFERROR(VLOOKUP(D291,Settings!$A$5:$C$14,3,FALSE()),"")</f>
        <v>3</v>
      </c>
      <c r="I291" s="37" t="n">
        <f aca="false">IF(C291="","",C291-B291)</f>
        <v>2</v>
      </c>
      <c r="J291" s="38" t="str">
        <f aca="false">IF(I291="","",IF(I291&gt;H291,"Delayed","On Time"))</f>
        <v>On Time</v>
      </c>
      <c r="K291" s="37" t="str">
        <f aca="false">IF(J291="Delayed",I291-H291,"")</f>
        <v/>
      </c>
    </row>
    <row r="292" customFormat="false" ht="15" hidden="false" customHeight="false" outlineLevel="0" collapsed="false">
      <c r="A292" s="35" t="s">
        <v>356</v>
      </c>
      <c r="B292" s="36" t="n">
        <v>46237</v>
      </c>
      <c r="C292" s="36" t="n">
        <v>46240</v>
      </c>
      <c r="D292" s="35" t="s">
        <v>52</v>
      </c>
      <c r="E292" s="35" t="s">
        <v>33</v>
      </c>
      <c r="F292" s="35" t="s">
        <v>15</v>
      </c>
      <c r="G292" s="35"/>
      <c r="H292" s="37" t="n">
        <f aca="false">IFERROR(VLOOKUP(D292,Settings!$A$5:$C$14,3,FALSE()),"")</f>
        <v>4</v>
      </c>
      <c r="I292" s="37" t="n">
        <f aca="false">IF(C292="","",C292-B292)</f>
        <v>3</v>
      </c>
      <c r="J292" s="38" t="str">
        <f aca="false">IF(I292="","",IF(I292&gt;H292,"Delayed","On Time"))</f>
        <v>On Time</v>
      </c>
      <c r="K292" s="37" t="str">
        <f aca="false">IF(J292="Delayed",I292-H292,"")</f>
        <v/>
      </c>
    </row>
    <row r="293" customFormat="false" ht="15" hidden="false" customHeight="false" outlineLevel="0" collapsed="false">
      <c r="A293" s="35" t="s">
        <v>357</v>
      </c>
      <c r="B293" s="36" t="n">
        <v>46237</v>
      </c>
      <c r="C293" s="36" t="n">
        <v>46241</v>
      </c>
      <c r="D293" s="35" t="s">
        <v>44</v>
      </c>
      <c r="E293" s="35" t="s">
        <v>33</v>
      </c>
      <c r="F293" s="35" t="s">
        <v>15</v>
      </c>
      <c r="G293" s="35"/>
      <c r="H293" s="37" t="n">
        <f aca="false">IFERROR(VLOOKUP(D293,Settings!$A$5:$C$14,3,FALSE()),"")</f>
        <v>3</v>
      </c>
      <c r="I293" s="37" t="n">
        <f aca="false">IF(C293="","",C293-B293)</f>
        <v>4</v>
      </c>
      <c r="J293" s="38" t="str">
        <f aca="false">IF(I293="","",IF(I293&gt;H293,"Delayed","On Time"))</f>
        <v>Delayed</v>
      </c>
      <c r="K293" s="37" t="n">
        <f aca="false">IF(J293="Delayed",I293-H293,"")</f>
        <v>1</v>
      </c>
    </row>
    <row r="294" customFormat="false" ht="15" hidden="false" customHeight="false" outlineLevel="0" collapsed="false">
      <c r="A294" s="35" t="s">
        <v>358</v>
      </c>
      <c r="B294" s="36" t="n">
        <v>46237</v>
      </c>
      <c r="C294" s="36" t="n">
        <v>46243</v>
      </c>
      <c r="D294" s="35" t="s">
        <v>46</v>
      </c>
      <c r="E294" s="35" t="s">
        <v>33</v>
      </c>
      <c r="F294" s="35" t="s">
        <v>17</v>
      </c>
      <c r="G294" s="35" t="s">
        <v>51</v>
      </c>
      <c r="H294" s="37" t="n">
        <f aca="false">IFERROR(VLOOKUP(D294,Settings!$A$5:$C$14,3,FALSE()),"")</f>
        <v>3</v>
      </c>
      <c r="I294" s="37" t="n">
        <f aca="false">IF(C294="","",C294-B294)</f>
        <v>6</v>
      </c>
      <c r="J294" s="38" t="str">
        <f aca="false">IF(I294="","",IF(I294&gt;H294,"Delayed","On Time"))</f>
        <v>Delayed</v>
      </c>
      <c r="K294" s="37" t="n">
        <f aca="false">IF(J294="Delayed",I294-H294,"")</f>
        <v>3</v>
      </c>
    </row>
    <row r="295" customFormat="false" ht="15" hidden="false" customHeight="false" outlineLevel="0" collapsed="false">
      <c r="A295" s="35" t="s">
        <v>359</v>
      </c>
      <c r="B295" s="36" t="n">
        <v>46237</v>
      </c>
      <c r="C295" s="36" t="n">
        <v>46240</v>
      </c>
      <c r="D295" s="35" t="s">
        <v>50</v>
      </c>
      <c r="E295" s="35" t="s">
        <v>35</v>
      </c>
      <c r="F295" s="35" t="s">
        <v>15</v>
      </c>
      <c r="G295" s="35"/>
      <c r="H295" s="37" t="n">
        <f aca="false">IFERROR(VLOOKUP(D295,Settings!$A$5:$C$14,3,FALSE()),"")</f>
        <v>3</v>
      </c>
      <c r="I295" s="37" t="n">
        <f aca="false">IF(C295="","",C295-B295)</f>
        <v>3</v>
      </c>
      <c r="J295" s="38" t="str">
        <f aca="false">IF(I295="","",IF(I295&gt;H295,"Delayed","On Time"))</f>
        <v>On Time</v>
      </c>
      <c r="K295" s="37" t="str">
        <f aca="false">IF(J295="Delayed",I295-H295,"")</f>
        <v/>
      </c>
    </row>
    <row r="296" customFormat="false" ht="15" hidden="false" customHeight="false" outlineLevel="0" collapsed="false">
      <c r="A296" s="35" t="s">
        <v>360</v>
      </c>
      <c r="B296" s="36" t="n">
        <v>46237</v>
      </c>
      <c r="C296" s="36" t="n">
        <v>46238</v>
      </c>
      <c r="D296" s="35" t="s">
        <v>46</v>
      </c>
      <c r="E296" s="35" t="s">
        <v>34</v>
      </c>
      <c r="F296" s="35" t="s">
        <v>15</v>
      </c>
      <c r="G296" s="35"/>
      <c r="H296" s="37" t="n">
        <f aca="false">IFERROR(VLOOKUP(D296,Settings!$A$5:$C$14,3,FALSE()),"")</f>
        <v>3</v>
      </c>
      <c r="I296" s="37" t="n">
        <f aca="false">IF(C296="","",C296-B296)</f>
        <v>1</v>
      </c>
      <c r="J296" s="38" t="str">
        <f aca="false">IF(I296="","",IF(I296&gt;H296,"Delayed","On Time"))</f>
        <v>On Time</v>
      </c>
      <c r="K296" s="37" t="str">
        <f aca="false">IF(J296="Delayed",I296-H296,"")</f>
        <v/>
      </c>
    </row>
    <row r="297" customFormat="false" ht="15" hidden="false" customHeight="false" outlineLevel="0" collapsed="false">
      <c r="A297" s="35" t="s">
        <v>361</v>
      </c>
      <c r="B297" s="36" t="n">
        <v>46237</v>
      </c>
      <c r="C297" s="36" t="n">
        <v>46241</v>
      </c>
      <c r="D297" s="35" t="s">
        <v>54</v>
      </c>
      <c r="E297" s="35" t="s">
        <v>34</v>
      </c>
      <c r="F297" s="35" t="s">
        <v>15</v>
      </c>
      <c r="G297" s="35"/>
      <c r="H297" s="37" t="n">
        <f aca="false">IFERROR(VLOOKUP(D297,Settings!$A$5:$C$14,3,FALSE()),"")</f>
        <v>5</v>
      </c>
      <c r="I297" s="37" t="n">
        <f aca="false">IF(C297="","",C297-B297)</f>
        <v>4</v>
      </c>
      <c r="J297" s="38" t="str">
        <f aca="false">IF(I297="","",IF(I297&gt;H297,"Delayed","On Time"))</f>
        <v>On Time</v>
      </c>
      <c r="K297" s="37" t="str">
        <f aca="false">IF(J297="Delayed",I297-H297,"")</f>
        <v/>
      </c>
    </row>
    <row r="298" customFormat="false" ht="15" hidden="false" customHeight="false" outlineLevel="0" collapsed="false">
      <c r="A298" s="35" t="s">
        <v>362</v>
      </c>
      <c r="B298" s="36" t="n">
        <v>46237</v>
      </c>
      <c r="C298" s="36" t="n">
        <v>46242</v>
      </c>
      <c r="D298" s="35" t="s">
        <v>53</v>
      </c>
      <c r="E298" s="35" t="s">
        <v>36</v>
      </c>
      <c r="F298" s="35" t="s">
        <v>15</v>
      </c>
      <c r="G298" s="35"/>
      <c r="H298" s="37" t="n">
        <f aca="false">IFERROR(VLOOKUP(D298,Settings!$A$5:$C$14,3,FALSE()),"")</f>
        <v>5</v>
      </c>
      <c r="I298" s="37" t="n">
        <f aca="false">IF(C298="","",C298-B298)</f>
        <v>5</v>
      </c>
      <c r="J298" s="38" t="str">
        <f aca="false">IF(I298="","",IF(I298&gt;H298,"Delayed","On Time"))</f>
        <v>On Time</v>
      </c>
      <c r="K298" s="37" t="str">
        <f aca="false">IF(J298="Delayed",I298-H298,"")</f>
        <v/>
      </c>
    </row>
    <row r="299" customFormat="false" ht="15" hidden="false" customHeight="false" outlineLevel="0" collapsed="false">
      <c r="A299" s="35" t="s">
        <v>363</v>
      </c>
      <c r="B299" s="36" t="n">
        <v>46237</v>
      </c>
      <c r="C299" s="36" t="n">
        <v>46244</v>
      </c>
      <c r="D299" s="35" t="s">
        <v>57</v>
      </c>
      <c r="E299" s="35" t="s">
        <v>34</v>
      </c>
      <c r="F299" s="35" t="s">
        <v>15</v>
      </c>
      <c r="G299" s="35"/>
      <c r="H299" s="37" t="n">
        <f aca="false">IFERROR(VLOOKUP(D299,Settings!$A$5:$C$14,3,FALSE()),"")</f>
        <v>7</v>
      </c>
      <c r="I299" s="37" t="n">
        <f aca="false">IF(C299="","",C299-B299)</f>
        <v>7</v>
      </c>
      <c r="J299" s="38" t="str">
        <f aca="false">IF(I299="","",IF(I299&gt;H299,"Delayed","On Time"))</f>
        <v>On Time</v>
      </c>
      <c r="K299" s="37" t="str">
        <f aca="false">IF(J299="Delayed",I299-H299,"")</f>
        <v/>
      </c>
    </row>
    <row r="300" customFormat="false" ht="15" hidden="false" customHeight="false" outlineLevel="0" collapsed="false">
      <c r="A300" s="35" t="s">
        <v>364</v>
      </c>
      <c r="B300" s="36" t="n">
        <v>46237</v>
      </c>
      <c r="C300" s="36" t="n">
        <v>46242</v>
      </c>
      <c r="D300" s="35" t="s">
        <v>44</v>
      </c>
      <c r="E300" s="35" t="s">
        <v>36</v>
      </c>
      <c r="F300" s="35" t="s">
        <v>15</v>
      </c>
      <c r="G300" s="35"/>
      <c r="H300" s="37" t="n">
        <f aca="false">IFERROR(VLOOKUP(D300,Settings!$A$5:$C$14,3,FALSE()),"")</f>
        <v>3</v>
      </c>
      <c r="I300" s="37" t="n">
        <f aca="false">IF(C300="","",C300-B300)</f>
        <v>5</v>
      </c>
      <c r="J300" s="38" t="str">
        <f aca="false">IF(I300="","",IF(I300&gt;H300,"Delayed","On Time"))</f>
        <v>Delayed</v>
      </c>
      <c r="K300" s="37" t="n">
        <f aca="false">IF(J300="Delayed",I300-H300,"")</f>
        <v>2</v>
      </c>
    </row>
    <row r="301" customFormat="false" ht="15" hidden="false" customHeight="false" outlineLevel="0" collapsed="false">
      <c r="A301" s="35" t="s">
        <v>365</v>
      </c>
      <c r="B301" s="36" t="n">
        <v>46237</v>
      </c>
      <c r="C301" s="36" t="n">
        <v>46241</v>
      </c>
      <c r="D301" s="35" t="s">
        <v>54</v>
      </c>
      <c r="E301" s="35" t="s">
        <v>36</v>
      </c>
      <c r="F301" s="35" t="s">
        <v>15</v>
      </c>
      <c r="G301" s="35"/>
      <c r="H301" s="37" t="n">
        <f aca="false">IFERROR(VLOOKUP(D301,Settings!$A$5:$C$14,3,FALSE()),"")</f>
        <v>5</v>
      </c>
      <c r="I301" s="37" t="n">
        <f aca="false">IF(C301="","",C301-B301)</f>
        <v>4</v>
      </c>
      <c r="J301" s="38" t="str">
        <f aca="false">IF(I301="","",IF(I301&gt;H301,"Delayed","On Time"))</f>
        <v>On Time</v>
      </c>
      <c r="K301" s="37" t="str">
        <f aca="false">IF(J301="Delayed",I301-H301,"")</f>
        <v/>
      </c>
    </row>
    <row r="302" customFormat="false" ht="15" hidden="false" customHeight="false" outlineLevel="0" collapsed="false">
      <c r="A302" s="35" t="s">
        <v>366</v>
      </c>
      <c r="B302" s="36" t="n">
        <v>46237</v>
      </c>
      <c r="C302" s="36" t="n">
        <v>46240</v>
      </c>
      <c r="D302" s="35" t="s">
        <v>44</v>
      </c>
      <c r="E302" s="35" t="s">
        <v>34</v>
      </c>
      <c r="F302" s="35" t="s">
        <v>15</v>
      </c>
      <c r="G302" s="35"/>
      <c r="H302" s="37" t="n">
        <f aca="false">IFERROR(VLOOKUP(D302,Settings!$A$5:$C$14,3,FALSE()),"")</f>
        <v>3</v>
      </c>
      <c r="I302" s="37" t="n">
        <f aca="false">IF(C302="","",C302-B302)</f>
        <v>3</v>
      </c>
      <c r="J302" s="38" t="str">
        <f aca="false">IF(I302="","",IF(I302&gt;H302,"Delayed","On Time"))</f>
        <v>On Time</v>
      </c>
      <c r="K302" s="37" t="str">
        <f aca="false">IF(J302="Delayed",I302-H302,"")</f>
        <v/>
      </c>
    </row>
    <row r="303" customFormat="false" ht="15" hidden="false" customHeight="false" outlineLevel="0" collapsed="false">
      <c r="A303" s="35" t="s">
        <v>367</v>
      </c>
      <c r="B303" s="36" t="n">
        <v>46237</v>
      </c>
      <c r="C303" s="36" t="n">
        <v>46240</v>
      </c>
      <c r="D303" s="35" t="s">
        <v>50</v>
      </c>
      <c r="E303" s="35" t="s">
        <v>34</v>
      </c>
      <c r="F303" s="35" t="s">
        <v>15</v>
      </c>
      <c r="G303" s="35"/>
      <c r="H303" s="37" t="n">
        <f aca="false">IFERROR(VLOOKUP(D303,Settings!$A$5:$C$14,3,FALSE()),"")</f>
        <v>3</v>
      </c>
      <c r="I303" s="37" t="n">
        <f aca="false">IF(C303="","",C303-B303)</f>
        <v>3</v>
      </c>
      <c r="J303" s="38" t="str">
        <f aca="false">IF(I303="","",IF(I303&gt;H303,"Delayed","On Time"))</f>
        <v>On Time</v>
      </c>
      <c r="K303" s="37" t="str">
        <f aca="false">IF(J303="Delayed",I303-H303,"")</f>
        <v/>
      </c>
    </row>
    <row r="304" customFormat="false" ht="15" hidden="false" customHeight="false" outlineLevel="0" collapsed="false">
      <c r="A304" s="35" t="s">
        <v>368</v>
      </c>
      <c r="B304" s="36" t="n">
        <v>46238</v>
      </c>
      <c r="C304" s="36" t="n">
        <v>46243</v>
      </c>
      <c r="D304" s="35" t="s">
        <v>48</v>
      </c>
      <c r="E304" s="35" t="s">
        <v>35</v>
      </c>
      <c r="F304" s="35" t="s">
        <v>15</v>
      </c>
      <c r="G304" s="35"/>
      <c r="H304" s="37" t="n">
        <f aca="false">IFERROR(VLOOKUP(D304,Settings!$A$5:$C$14,3,FALSE()),"")</f>
        <v>3</v>
      </c>
      <c r="I304" s="37" t="n">
        <f aca="false">IF(C304="","",C304-B304)</f>
        <v>5</v>
      </c>
      <c r="J304" s="38" t="str">
        <f aca="false">IF(I304="","",IF(I304&gt;H304,"Delayed","On Time"))</f>
        <v>Delayed</v>
      </c>
      <c r="K304" s="37" t="n">
        <f aca="false">IF(J304="Delayed",I304-H304,"")</f>
        <v>2</v>
      </c>
    </row>
    <row r="305" customFormat="false" ht="15" hidden="false" customHeight="false" outlineLevel="0" collapsed="false">
      <c r="A305" s="35" t="s">
        <v>369</v>
      </c>
      <c r="B305" s="36" t="n">
        <v>46238</v>
      </c>
      <c r="C305" s="36" t="n">
        <v>46240</v>
      </c>
      <c r="D305" s="35" t="s">
        <v>46</v>
      </c>
      <c r="E305" s="35" t="s">
        <v>33</v>
      </c>
      <c r="F305" s="35" t="s">
        <v>15</v>
      </c>
      <c r="G305" s="35"/>
      <c r="H305" s="37" t="n">
        <f aca="false">IFERROR(VLOOKUP(D305,Settings!$A$5:$C$14,3,FALSE()),"")</f>
        <v>3</v>
      </c>
      <c r="I305" s="37" t="n">
        <f aca="false">IF(C305="","",C305-B305)</f>
        <v>2</v>
      </c>
      <c r="J305" s="38" t="str">
        <f aca="false">IF(I305="","",IF(I305&gt;H305,"Delayed","On Time"))</f>
        <v>On Time</v>
      </c>
      <c r="K305" s="37" t="str">
        <f aca="false">IF(J305="Delayed",I305-H305,"")</f>
        <v/>
      </c>
    </row>
    <row r="306" customFormat="false" ht="15" hidden="false" customHeight="false" outlineLevel="0" collapsed="false">
      <c r="A306" s="35" t="s">
        <v>370</v>
      </c>
      <c r="B306" s="36" t="n">
        <v>46238</v>
      </c>
      <c r="C306" s="36"/>
      <c r="D306" s="35" t="s">
        <v>46</v>
      </c>
      <c r="E306" s="35" t="s">
        <v>34</v>
      </c>
      <c r="F306" s="35" t="s">
        <v>18</v>
      </c>
      <c r="G306" s="35" t="s">
        <v>47</v>
      </c>
      <c r="H306" s="37" t="n">
        <f aca="false">IFERROR(VLOOKUP(D306,Settings!$A$5:$C$14,3,FALSE()),"")</f>
        <v>3</v>
      </c>
      <c r="I306" s="37" t="str">
        <f aca="false">IF(C306="","",C306-B306)</f>
        <v/>
      </c>
      <c r="J306" s="38" t="str">
        <f aca="false">IF(I306="","",IF(I306&gt;H306,"Delayed","On Time"))</f>
        <v/>
      </c>
      <c r="K306" s="37" t="str">
        <f aca="false">IF(J306="Delayed",I306-H306,"")</f>
        <v/>
      </c>
    </row>
    <row r="307" customFormat="false" ht="15" hidden="false" customHeight="false" outlineLevel="0" collapsed="false">
      <c r="A307" s="35" t="s">
        <v>371</v>
      </c>
      <c r="B307" s="36" t="n">
        <v>46238</v>
      </c>
      <c r="C307" s="36"/>
      <c r="D307" s="35" t="s">
        <v>55</v>
      </c>
      <c r="E307" s="35" t="s">
        <v>33</v>
      </c>
      <c r="F307" s="35" t="s">
        <v>18</v>
      </c>
      <c r="G307" s="35" t="s">
        <v>47</v>
      </c>
      <c r="H307" s="37" t="n">
        <f aca="false">IFERROR(VLOOKUP(D307,Settings!$A$5:$C$14,3,FALSE()),"")</f>
        <v>5</v>
      </c>
      <c r="I307" s="37" t="str">
        <f aca="false">IF(C307="","",C307-B307)</f>
        <v/>
      </c>
      <c r="J307" s="38" t="str">
        <f aca="false">IF(I307="","",IF(I307&gt;H307,"Delayed","On Time"))</f>
        <v/>
      </c>
      <c r="K307" s="37" t="str">
        <f aca="false">IF(J307="Delayed",I307-H307,"")</f>
        <v/>
      </c>
    </row>
    <row r="308" customFormat="false" ht="15" hidden="false" customHeight="false" outlineLevel="0" collapsed="false">
      <c r="A308" s="35" t="s">
        <v>372</v>
      </c>
      <c r="B308" s="36" t="n">
        <v>46238</v>
      </c>
      <c r="C308" s="36" t="n">
        <v>46243</v>
      </c>
      <c r="D308" s="35" t="s">
        <v>44</v>
      </c>
      <c r="E308" s="35" t="s">
        <v>33</v>
      </c>
      <c r="F308" s="35" t="s">
        <v>15</v>
      </c>
      <c r="G308" s="35"/>
      <c r="H308" s="37" t="n">
        <f aca="false">IFERROR(VLOOKUP(D308,Settings!$A$5:$C$14,3,FALSE()),"")</f>
        <v>3</v>
      </c>
      <c r="I308" s="37" t="n">
        <f aca="false">IF(C308="","",C308-B308)</f>
        <v>5</v>
      </c>
      <c r="J308" s="38" t="str">
        <f aca="false">IF(I308="","",IF(I308&gt;H308,"Delayed","On Time"))</f>
        <v>Delayed</v>
      </c>
      <c r="K308" s="37" t="n">
        <f aca="false">IF(J308="Delayed",I308-H308,"")</f>
        <v>2</v>
      </c>
    </row>
    <row r="309" customFormat="false" ht="15" hidden="false" customHeight="false" outlineLevel="0" collapsed="false">
      <c r="A309" s="35" t="s">
        <v>373</v>
      </c>
      <c r="B309" s="36" t="n">
        <v>46238</v>
      </c>
      <c r="C309" s="36" t="n">
        <v>46240</v>
      </c>
      <c r="D309" s="35" t="s">
        <v>44</v>
      </c>
      <c r="E309" s="35" t="s">
        <v>33</v>
      </c>
      <c r="F309" s="35" t="s">
        <v>15</v>
      </c>
      <c r="G309" s="35"/>
      <c r="H309" s="37" t="n">
        <f aca="false">IFERROR(VLOOKUP(D309,Settings!$A$5:$C$14,3,FALSE()),"")</f>
        <v>3</v>
      </c>
      <c r="I309" s="37" t="n">
        <f aca="false">IF(C309="","",C309-B309)</f>
        <v>2</v>
      </c>
      <c r="J309" s="38" t="str">
        <f aca="false">IF(I309="","",IF(I309&gt;H309,"Delayed","On Time"))</f>
        <v>On Time</v>
      </c>
      <c r="K309" s="37" t="str">
        <f aca="false">IF(J309="Delayed",I309-H309,"")</f>
        <v/>
      </c>
    </row>
    <row r="310" customFormat="false" ht="15" hidden="false" customHeight="false" outlineLevel="0" collapsed="false">
      <c r="A310" s="35" t="s">
        <v>374</v>
      </c>
      <c r="B310" s="36" t="n">
        <v>46239</v>
      </c>
      <c r="C310" s="36" t="n">
        <v>46241</v>
      </c>
      <c r="D310" s="35" t="s">
        <v>44</v>
      </c>
      <c r="E310" s="35" t="s">
        <v>33</v>
      </c>
      <c r="F310" s="35" t="s">
        <v>15</v>
      </c>
      <c r="G310" s="35"/>
      <c r="H310" s="37" t="n">
        <f aca="false">IFERROR(VLOOKUP(D310,Settings!$A$5:$C$14,3,FALSE()),"")</f>
        <v>3</v>
      </c>
      <c r="I310" s="37" t="n">
        <f aca="false">IF(C310="","",C310-B310)</f>
        <v>2</v>
      </c>
      <c r="J310" s="38" t="str">
        <f aca="false">IF(I310="","",IF(I310&gt;H310,"Delayed","On Time"))</f>
        <v>On Time</v>
      </c>
      <c r="K310" s="37" t="str">
        <f aca="false">IF(J310="Delayed",I310-H310,"")</f>
        <v/>
      </c>
    </row>
    <row r="311" customFormat="false" ht="15" hidden="false" customHeight="false" outlineLevel="0" collapsed="false">
      <c r="A311" s="35" t="s">
        <v>375</v>
      </c>
      <c r="B311" s="36" t="n">
        <v>46239</v>
      </c>
      <c r="C311" s="36" t="n">
        <v>46244</v>
      </c>
      <c r="D311" s="35" t="s">
        <v>53</v>
      </c>
      <c r="E311" s="35" t="s">
        <v>35</v>
      </c>
      <c r="F311" s="35" t="s">
        <v>15</v>
      </c>
      <c r="G311" s="35"/>
      <c r="H311" s="37" t="n">
        <f aca="false">IFERROR(VLOOKUP(D311,Settings!$A$5:$C$14,3,FALSE()),"")</f>
        <v>5</v>
      </c>
      <c r="I311" s="37" t="n">
        <f aca="false">IF(C311="","",C311-B311)</f>
        <v>5</v>
      </c>
      <c r="J311" s="38" t="str">
        <f aca="false">IF(I311="","",IF(I311&gt;H311,"Delayed","On Time"))</f>
        <v>On Time</v>
      </c>
      <c r="K311" s="37" t="str">
        <f aca="false">IF(J311="Delayed",I311-H311,"")</f>
        <v/>
      </c>
    </row>
    <row r="312" customFormat="false" ht="15" hidden="false" customHeight="false" outlineLevel="0" collapsed="false">
      <c r="A312" s="35" t="s">
        <v>376</v>
      </c>
      <c r="B312" s="36" t="n">
        <v>46239</v>
      </c>
      <c r="C312" s="36" t="n">
        <v>46243</v>
      </c>
      <c r="D312" s="35" t="s">
        <v>56</v>
      </c>
      <c r="E312" s="35" t="s">
        <v>36</v>
      </c>
      <c r="F312" s="35" t="s">
        <v>15</v>
      </c>
      <c r="G312" s="35"/>
      <c r="H312" s="37" t="n">
        <f aca="false">IFERROR(VLOOKUP(D312,Settings!$A$5:$C$14,3,FALSE()),"")</f>
        <v>6</v>
      </c>
      <c r="I312" s="37" t="n">
        <f aca="false">IF(C312="","",C312-B312)</f>
        <v>4</v>
      </c>
      <c r="J312" s="38" t="str">
        <f aca="false">IF(I312="","",IF(I312&gt;H312,"Delayed","On Time"))</f>
        <v>On Time</v>
      </c>
      <c r="K312" s="37" t="str">
        <f aca="false">IF(J312="Delayed",I312-H312,"")</f>
        <v/>
      </c>
    </row>
    <row r="313" customFormat="false" ht="15" hidden="false" customHeight="false" outlineLevel="0" collapsed="false">
      <c r="A313" s="35" t="s">
        <v>377</v>
      </c>
      <c r="B313" s="36" t="n">
        <v>46239</v>
      </c>
      <c r="C313" s="36" t="n">
        <v>46240</v>
      </c>
      <c r="D313" s="35" t="s">
        <v>46</v>
      </c>
      <c r="E313" s="35" t="s">
        <v>33</v>
      </c>
      <c r="F313" s="35" t="s">
        <v>15</v>
      </c>
      <c r="G313" s="35"/>
      <c r="H313" s="37" t="n">
        <f aca="false">IFERROR(VLOOKUP(D313,Settings!$A$5:$C$14,3,FALSE()),"")</f>
        <v>3</v>
      </c>
      <c r="I313" s="37" t="n">
        <f aca="false">IF(C313="","",C313-B313)</f>
        <v>1</v>
      </c>
      <c r="J313" s="38" t="str">
        <f aca="false">IF(I313="","",IF(I313&gt;H313,"Delayed","On Time"))</f>
        <v>On Time</v>
      </c>
      <c r="K313" s="37" t="str">
        <f aca="false">IF(J313="Delayed",I313-H313,"")</f>
        <v/>
      </c>
    </row>
    <row r="314" customFormat="false" ht="15" hidden="false" customHeight="false" outlineLevel="0" collapsed="false">
      <c r="A314" s="35" t="s">
        <v>378</v>
      </c>
      <c r="B314" s="36" t="n">
        <v>46239</v>
      </c>
      <c r="C314" s="36" t="n">
        <v>46242</v>
      </c>
      <c r="D314" s="35" t="s">
        <v>46</v>
      </c>
      <c r="E314" s="35" t="s">
        <v>33</v>
      </c>
      <c r="F314" s="35" t="s">
        <v>15</v>
      </c>
      <c r="G314" s="35"/>
      <c r="H314" s="37" t="n">
        <f aca="false">IFERROR(VLOOKUP(D314,Settings!$A$5:$C$14,3,FALSE()),"")</f>
        <v>3</v>
      </c>
      <c r="I314" s="37" t="n">
        <f aca="false">IF(C314="","",C314-B314)</f>
        <v>3</v>
      </c>
      <c r="J314" s="38" t="str">
        <f aca="false">IF(I314="","",IF(I314&gt;H314,"Delayed","On Time"))</f>
        <v>On Time</v>
      </c>
      <c r="K314" s="37" t="str">
        <f aca="false">IF(J314="Delayed",I314-H314,"")</f>
        <v/>
      </c>
    </row>
    <row r="315" customFormat="false" ht="15" hidden="false" customHeight="false" outlineLevel="0" collapsed="false">
      <c r="A315" s="35" t="s">
        <v>379</v>
      </c>
      <c r="B315" s="36" t="n">
        <v>46239</v>
      </c>
      <c r="C315" s="36" t="n">
        <v>46243</v>
      </c>
      <c r="D315" s="35" t="s">
        <v>48</v>
      </c>
      <c r="E315" s="35" t="s">
        <v>36</v>
      </c>
      <c r="F315" s="35" t="s">
        <v>15</v>
      </c>
      <c r="G315" s="35"/>
      <c r="H315" s="37" t="n">
        <f aca="false">IFERROR(VLOOKUP(D315,Settings!$A$5:$C$14,3,FALSE()),"")</f>
        <v>3</v>
      </c>
      <c r="I315" s="37" t="n">
        <f aca="false">IF(C315="","",C315-B315)</f>
        <v>4</v>
      </c>
      <c r="J315" s="38" t="str">
        <f aca="false">IF(I315="","",IF(I315&gt;H315,"Delayed","On Time"))</f>
        <v>Delayed</v>
      </c>
      <c r="K315" s="37" t="n">
        <f aca="false">IF(J315="Delayed",I315-H315,"")</f>
        <v>1</v>
      </c>
    </row>
    <row r="316" customFormat="false" ht="15" hidden="false" customHeight="false" outlineLevel="0" collapsed="false">
      <c r="A316" s="35" t="s">
        <v>380</v>
      </c>
      <c r="B316" s="36" t="n">
        <v>46239</v>
      </c>
      <c r="C316" s="36" t="n">
        <v>46245</v>
      </c>
      <c r="D316" s="35" t="s">
        <v>55</v>
      </c>
      <c r="E316" s="35" t="s">
        <v>36</v>
      </c>
      <c r="F316" s="35" t="s">
        <v>15</v>
      </c>
      <c r="G316" s="35"/>
      <c r="H316" s="37" t="n">
        <f aca="false">IFERROR(VLOOKUP(D316,Settings!$A$5:$C$14,3,FALSE()),"")</f>
        <v>5</v>
      </c>
      <c r="I316" s="37" t="n">
        <f aca="false">IF(C316="","",C316-B316)</f>
        <v>6</v>
      </c>
      <c r="J316" s="38" t="str">
        <f aca="false">IF(I316="","",IF(I316&gt;H316,"Delayed","On Time"))</f>
        <v>Delayed</v>
      </c>
      <c r="K316" s="37" t="n">
        <f aca="false">IF(J316="Delayed",I316-H316,"")</f>
        <v>1</v>
      </c>
    </row>
    <row r="317" customFormat="false" ht="15" hidden="false" customHeight="false" outlineLevel="0" collapsed="false">
      <c r="A317" s="35" t="s">
        <v>381</v>
      </c>
      <c r="B317" s="36" t="n">
        <v>46239</v>
      </c>
      <c r="C317" s="36" t="n">
        <v>46242</v>
      </c>
      <c r="D317" s="35" t="s">
        <v>50</v>
      </c>
      <c r="E317" s="35" t="s">
        <v>35</v>
      </c>
      <c r="F317" s="35" t="s">
        <v>15</v>
      </c>
      <c r="G317" s="35"/>
      <c r="H317" s="37" t="n">
        <f aca="false">IFERROR(VLOOKUP(D317,Settings!$A$5:$C$14,3,FALSE()),"")</f>
        <v>3</v>
      </c>
      <c r="I317" s="37" t="n">
        <f aca="false">IF(C317="","",C317-B317)</f>
        <v>3</v>
      </c>
      <c r="J317" s="38" t="str">
        <f aca="false">IF(I317="","",IF(I317&gt;H317,"Delayed","On Time"))</f>
        <v>On Time</v>
      </c>
      <c r="K317" s="37" t="str">
        <f aca="false">IF(J317="Delayed",I317-H317,"")</f>
        <v/>
      </c>
    </row>
    <row r="318" customFormat="false" ht="15" hidden="false" customHeight="false" outlineLevel="0" collapsed="false">
      <c r="A318" s="35" t="s">
        <v>382</v>
      </c>
      <c r="B318" s="36" t="n">
        <v>46240</v>
      </c>
      <c r="C318" s="36" t="n">
        <v>46243</v>
      </c>
      <c r="D318" s="35" t="s">
        <v>48</v>
      </c>
      <c r="E318" s="35" t="s">
        <v>35</v>
      </c>
      <c r="F318" s="35" t="s">
        <v>15</v>
      </c>
      <c r="G318" s="35"/>
      <c r="H318" s="37" t="n">
        <f aca="false">IFERROR(VLOOKUP(D318,Settings!$A$5:$C$14,3,FALSE()),"")</f>
        <v>3</v>
      </c>
      <c r="I318" s="37" t="n">
        <f aca="false">IF(C318="","",C318-B318)</f>
        <v>3</v>
      </c>
      <c r="J318" s="38" t="str">
        <f aca="false">IF(I318="","",IF(I318&gt;H318,"Delayed","On Time"))</f>
        <v>On Time</v>
      </c>
      <c r="K318" s="37" t="str">
        <f aca="false">IF(J318="Delayed",I318-H318,"")</f>
        <v/>
      </c>
    </row>
    <row r="319" customFormat="false" ht="15" hidden="false" customHeight="false" outlineLevel="0" collapsed="false">
      <c r="A319" s="35" t="s">
        <v>383</v>
      </c>
      <c r="B319" s="36" t="n">
        <v>46240</v>
      </c>
      <c r="C319" s="36" t="n">
        <v>46242</v>
      </c>
      <c r="D319" s="35" t="s">
        <v>50</v>
      </c>
      <c r="E319" s="35" t="s">
        <v>34</v>
      </c>
      <c r="F319" s="35" t="s">
        <v>15</v>
      </c>
      <c r="G319" s="35"/>
      <c r="H319" s="37" t="n">
        <f aca="false">IFERROR(VLOOKUP(D319,Settings!$A$5:$C$14,3,FALSE()),"")</f>
        <v>3</v>
      </c>
      <c r="I319" s="37" t="n">
        <f aca="false">IF(C319="","",C319-B319)</f>
        <v>2</v>
      </c>
      <c r="J319" s="38" t="str">
        <f aca="false">IF(I319="","",IF(I319&gt;H319,"Delayed","On Time"))</f>
        <v>On Time</v>
      </c>
      <c r="K319" s="37" t="str">
        <f aca="false">IF(J319="Delayed",I319-H319,"")</f>
        <v/>
      </c>
    </row>
    <row r="320" customFormat="false" ht="15" hidden="false" customHeight="false" outlineLevel="0" collapsed="false">
      <c r="A320" s="35" t="s">
        <v>384</v>
      </c>
      <c r="B320" s="36" t="n">
        <v>46240</v>
      </c>
      <c r="C320" s="36" t="n">
        <v>46242</v>
      </c>
      <c r="D320" s="35" t="s">
        <v>50</v>
      </c>
      <c r="E320" s="35" t="s">
        <v>35</v>
      </c>
      <c r="F320" s="35" t="s">
        <v>15</v>
      </c>
      <c r="G320" s="35"/>
      <c r="H320" s="37" t="n">
        <f aca="false">IFERROR(VLOOKUP(D320,Settings!$A$5:$C$14,3,FALSE()),"")</f>
        <v>3</v>
      </c>
      <c r="I320" s="37" t="n">
        <f aca="false">IF(C320="","",C320-B320)</f>
        <v>2</v>
      </c>
      <c r="J320" s="38" t="str">
        <f aca="false">IF(I320="","",IF(I320&gt;H320,"Delayed","On Time"))</f>
        <v>On Time</v>
      </c>
      <c r="K320" s="37" t="str">
        <f aca="false">IF(J320="Delayed",I320-H320,"")</f>
        <v/>
      </c>
    </row>
    <row r="321" customFormat="false" ht="15" hidden="false" customHeight="false" outlineLevel="0" collapsed="false">
      <c r="A321" s="35" t="s">
        <v>385</v>
      </c>
      <c r="B321" s="36" t="n">
        <v>46240</v>
      </c>
      <c r="C321" s="36" t="n">
        <v>46243</v>
      </c>
      <c r="D321" s="35" t="s">
        <v>52</v>
      </c>
      <c r="E321" s="35" t="s">
        <v>35</v>
      </c>
      <c r="F321" s="35" t="s">
        <v>15</v>
      </c>
      <c r="G321" s="35"/>
      <c r="H321" s="37" t="n">
        <f aca="false">IFERROR(VLOOKUP(D321,Settings!$A$5:$C$14,3,FALSE()),"")</f>
        <v>4</v>
      </c>
      <c r="I321" s="37" t="n">
        <f aca="false">IF(C321="","",C321-B321)</f>
        <v>3</v>
      </c>
      <c r="J321" s="38" t="str">
        <f aca="false">IF(I321="","",IF(I321&gt;H321,"Delayed","On Time"))</f>
        <v>On Time</v>
      </c>
      <c r="K321" s="37" t="str">
        <f aca="false">IF(J321="Delayed",I321-H321,"")</f>
        <v/>
      </c>
    </row>
    <row r="322" customFormat="false" ht="15" hidden="false" customHeight="false" outlineLevel="0" collapsed="false">
      <c r="A322" s="35" t="s">
        <v>386</v>
      </c>
      <c r="B322" s="36" t="n">
        <v>46240</v>
      </c>
      <c r="C322" s="36" t="n">
        <v>46245</v>
      </c>
      <c r="D322" s="35" t="s">
        <v>44</v>
      </c>
      <c r="E322" s="35" t="s">
        <v>33</v>
      </c>
      <c r="F322" s="35" t="s">
        <v>17</v>
      </c>
      <c r="G322" s="35" t="s">
        <v>43</v>
      </c>
      <c r="H322" s="37" t="n">
        <f aca="false">IFERROR(VLOOKUP(D322,Settings!$A$5:$C$14,3,FALSE()),"")</f>
        <v>3</v>
      </c>
      <c r="I322" s="37" t="n">
        <f aca="false">IF(C322="","",C322-B322)</f>
        <v>5</v>
      </c>
      <c r="J322" s="38" t="str">
        <f aca="false">IF(I322="","",IF(I322&gt;H322,"Delayed","On Time"))</f>
        <v>Delayed</v>
      </c>
      <c r="K322" s="37" t="n">
        <f aca="false">IF(J322="Delayed",I322-H322,"")</f>
        <v>2</v>
      </c>
    </row>
    <row r="323" customFormat="false" ht="15" hidden="false" customHeight="false" outlineLevel="0" collapsed="false">
      <c r="A323" s="35" t="s">
        <v>387</v>
      </c>
      <c r="B323" s="36" t="n">
        <v>46241</v>
      </c>
      <c r="C323" s="36"/>
      <c r="D323" s="35" t="s">
        <v>46</v>
      </c>
      <c r="E323" s="35" t="s">
        <v>33</v>
      </c>
      <c r="F323" s="35" t="s">
        <v>18</v>
      </c>
      <c r="G323" s="35" t="s">
        <v>47</v>
      </c>
      <c r="H323" s="37" t="n">
        <f aca="false">IFERROR(VLOOKUP(D323,Settings!$A$5:$C$14,3,FALSE()),"")</f>
        <v>3</v>
      </c>
      <c r="I323" s="37" t="str">
        <f aca="false">IF(C323="","",C323-B323)</f>
        <v/>
      </c>
      <c r="J323" s="38" t="str">
        <f aca="false">IF(I323="","",IF(I323&gt;H323,"Delayed","On Time"))</f>
        <v/>
      </c>
      <c r="K323" s="37" t="str">
        <f aca="false">IF(J323="Delayed",I323-H323,"")</f>
        <v/>
      </c>
    </row>
    <row r="324" customFormat="false" ht="15" hidden="false" customHeight="false" outlineLevel="0" collapsed="false">
      <c r="A324" s="35" t="s">
        <v>388</v>
      </c>
      <c r="B324" s="36" t="n">
        <v>46241</v>
      </c>
      <c r="C324" s="36" t="n">
        <v>46242</v>
      </c>
      <c r="D324" s="35" t="s">
        <v>44</v>
      </c>
      <c r="E324" s="35" t="s">
        <v>36</v>
      </c>
      <c r="F324" s="35" t="s">
        <v>17</v>
      </c>
      <c r="G324" s="35" t="s">
        <v>43</v>
      </c>
      <c r="H324" s="37" t="n">
        <f aca="false">IFERROR(VLOOKUP(D324,Settings!$A$5:$C$14,3,FALSE()),"")</f>
        <v>3</v>
      </c>
      <c r="I324" s="37" t="n">
        <f aca="false">IF(C324="","",C324-B324)</f>
        <v>1</v>
      </c>
      <c r="J324" s="38" t="str">
        <f aca="false">IF(I324="","",IF(I324&gt;H324,"Delayed","On Time"))</f>
        <v>On Time</v>
      </c>
      <c r="K324" s="37" t="str">
        <f aca="false">IF(J324="Delayed",I324-H324,"")</f>
        <v/>
      </c>
    </row>
    <row r="325" customFormat="false" ht="15" hidden="false" customHeight="false" outlineLevel="0" collapsed="false">
      <c r="A325" s="35" t="s">
        <v>389</v>
      </c>
      <c r="B325" s="36" t="n">
        <v>46241</v>
      </c>
      <c r="C325" s="36" t="n">
        <v>46242</v>
      </c>
      <c r="D325" s="35" t="s">
        <v>46</v>
      </c>
      <c r="E325" s="35" t="s">
        <v>34</v>
      </c>
      <c r="F325" s="35" t="s">
        <v>15</v>
      </c>
      <c r="G325" s="35"/>
      <c r="H325" s="37" t="n">
        <f aca="false">IFERROR(VLOOKUP(D325,Settings!$A$5:$C$14,3,FALSE()),"")</f>
        <v>3</v>
      </c>
      <c r="I325" s="37" t="n">
        <f aca="false">IF(C325="","",C325-B325)</f>
        <v>1</v>
      </c>
      <c r="J325" s="38" t="str">
        <f aca="false">IF(I325="","",IF(I325&gt;H325,"Delayed","On Time"))</f>
        <v>On Time</v>
      </c>
      <c r="K325" s="37" t="str">
        <f aca="false">IF(J325="Delayed",I325-H325,"")</f>
        <v/>
      </c>
    </row>
    <row r="326" customFormat="false" ht="15" hidden="false" customHeight="false" outlineLevel="0" collapsed="false">
      <c r="A326" s="35" t="s">
        <v>390</v>
      </c>
      <c r="B326" s="36" t="n">
        <v>46241</v>
      </c>
      <c r="C326" s="36" t="n">
        <v>46248</v>
      </c>
      <c r="D326" s="35" t="s">
        <v>57</v>
      </c>
      <c r="E326" s="35" t="s">
        <v>33</v>
      </c>
      <c r="F326" s="35" t="s">
        <v>15</v>
      </c>
      <c r="G326" s="35"/>
      <c r="H326" s="37" t="n">
        <f aca="false">IFERROR(VLOOKUP(D326,Settings!$A$5:$C$14,3,FALSE()),"")</f>
        <v>7</v>
      </c>
      <c r="I326" s="37" t="n">
        <f aca="false">IF(C326="","",C326-B326)</f>
        <v>7</v>
      </c>
      <c r="J326" s="38" t="str">
        <f aca="false">IF(I326="","",IF(I326&gt;H326,"Delayed","On Time"))</f>
        <v>On Time</v>
      </c>
      <c r="K326" s="37" t="str">
        <f aca="false">IF(J326="Delayed",I326-H326,"")</f>
        <v/>
      </c>
    </row>
    <row r="327" customFormat="false" ht="15" hidden="false" customHeight="false" outlineLevel="0" collapsed="false">
      <c r="A327" s="35" t="s">
        <v>391</v>
      </c>
      <c r="B327" s="36" t="n">
        <v>46241</v>
      </c>
      <c r="C327" s="36" t="n">
        <v>46242</v>
      </c>
      <c r="D327" s="35" t="s">
        <v>44</v>
      </c>
      <c r="E327" s="35" t="s">
        <v>34</v>
      </c>
      <c r="F327" s="35" t="s">
        <v>15</v>
      </c>
      <c r="G327" s="35"/>
      <c r="H327" s="37" t="n">
        <f aca="false">IFERROR(VLOOKUP(D327,Settings!$A$5:$C$14,3,FALSE()),"")</f>
        <v>3</v>
      </c>
      <c r="I327" s="37" t="n">
        <f aca="false">IF(C327="","",C327-B327)</f>
        <v>1</v>
      </c>
      <c r="J327" s="38" t="str">
        <f aca="false">IF(I327="","",IF(I327&gt;H327,"Delayed","On Time"))</f>
        <v>On Time</v>
      </c>
      <c r="K327" s="37" t="str">
        <f aca="false">IF(J327="Delayed",I327-H327,"")</f>
        <v/>
      </c>
    </row>
    <row r="328" customFormat="false" ht="15" hidden="false" customHeight="false" outlineLevel="0" collapsed="false">
      <c r="A328" s="35" t="s">
        <v>392</v>
      </c>
      <c r="B328" s="36" t="n">
        <v>46241</v>
      </c>
      <c r="C328" s="36" t="n">
        <v>46243</v>
      </c>
      <c r="D328" s="35" t="s">
        <v>44</v>
      </c>
      <c r="E328" s="35" t="s">
        <v>36</v>
      </c>
      <c r="F328" s="35" t="s">
        <v>17</v>
      </c>
      <c r="G328" s="35" t="s">
        <v>43</v>
      </c>
      <c r="H328" s="37" t="n">
        <f aca="false">IFERROR(VLOOKUP(D328,Settings!$A$5:$C$14,3,FALSE()),"")</f>
        <v>3</v>
      </c>
      <c r="I328" s="37" t="n">
        <f aca="false">IF(C328="","",C328-B328)</f>
        <v>2</v>
      </c>
      <c r="J328" s="38" t="str">
        <f aca="false">IF(I328="","",IF(I328&gt;H328,"Delayed","On Time"))</f>
        <v>On Time</v>
      </c>
      <c r="K328" s="37" t="str">
        <f aca="false">IF(J328="Delayed",I328-H328,"")</f>
        <v/>
      </c>
    </row>
    <row r="329" customFormat="false" ht="15" hidden="false" customHeight="false" outlineLevel="0" collapsed="false">
      <c r="A329" s="35" t="s">
        <v>393</v>
      </c>
      <c r="B329" s="36" t="n">
        <v>46242</v>
      </c>
      <c r="C329" s="36"/>
      <c r="D329" s="35" t="s">
        <v>52</v>
      </c>
      <c r="E329" s="35" t="s">
        <v>34</v>
      </c>
      <c r="F329" s="35" t="s">
        <v>18</v>
      </c>
      <c r="G329" s="35" t="s">
        <v>47</v>
      </c>
      <c r="H329" s="37" t="n">
        <f aca="false">IFERROR(VLOOKUP(D329,Settings!$A$5:$C$14,3,FALSE()),"")</f>
        <v>4</v>
      </c>
      <c r="I329" s="37" t="str">
        <f aca="false">IF(C329="","",C329-B329)</f>
        <v/>
      </c>
      <c r="J329" s="38" t="str">
        <f aca="false">IF(I329="","",IF(I329&gt;H329,"Delayed","On Time"))</f>
        <v/>
      </c>
      <c r="K329" s="37" t="str">
        <f aca="false">IF(J329="Delayed",I329-H329,"")</f>
        <v/>
      </c>
    </row>
    <row r="330" customFormat="false" ht="15" hidden="false" customHeight="false" outlineLevel="0" collapsed="false">
      <c r="A330" s="35" t="s">
        <v>394</v>
      </c>
      <c r="B330" s="36" t="n">
        <v>46242</v>
      </c>
      <c r="C330" s="36" t="n">
        <v>46245</v>
      </c>
      <c r="D330" s="35" t="s">
        <v>50</v>
      </c>
      <c r="E330" s="35" t="s">
        <v>33</v>
      </c>
      <c r="F330" s="35" t="s">
        <v>15</v>
      </c>
      <c r="G330" s="35"/>
      <c r="H330" s="37" t="n">
        <f aca="false">IFERROR(VLOOKUP(D330,Settings!$A$5:$C$14,3,FALSE()),"")</f>
        <v>3</v>
      </c>
      <c r="I330" s="37" t="n">
        <f aca="false">IF(C330="","",C330-B330)</f>
        <v>3</v>
      </c>
      <c r="J330" s="38" t="str">
        <f aca="false">IF(I330="","",IF(I330&gt;H330,"Delayed","On Time"))</f>
        <v>On Time</v>
      </c>
      <c r="K330" s="37" t="str">
        <f aca="false">IF(J330="Delayed",I330-H330,"")</f>
        <v/>
      </c>
    </row>
    <row r="331" customFormat="false" ht="15" hidden="false" customHeight="false" outlineLevel="0" collapsed="false">
      <c r="A331" s="35" t="s">
        <v>395</v>
      </c>
      <c r="B331" s="36" t="n">
        <v>46242</v>
      </c>
      <c r="C331" s="36" t="n">
        <v>46247</v>
      </c>
      <c r="D331" s="35" t="s">
        <v>55</v>
      </c>
      <c r="E331" s="35" t="s">
        <v>33</v>
      </c>
      <c r="F331" s="35" t="s">
        <v>15</v>
      </c>
      <c r="G331" s="35"/>
      <c r="H331" s="37" t="n">
        <f aca="false">IFERROR(VLOOKUP(D331,Settings!$A$5:$C$14,3,FALSE()),"")</f>
        <v>5</v>
      </c>
      <c r="I331" s="37" t="n">
        <f aca="false">IF(C331="","",C331-B331)</f>
        <v>5</v>
      </c>
      <c r="J331" s="38" t="str">
        <f aca="false">IF(I331="","",IF(I331&gt;H331,"Delayed","On Time"))</f>
        <v>On Time</v>
      </c>
      <c r="K331" s="37" t="str">
        <f aca="false">IF(J331="Delayed",I331-H331,"")</f>
        <v/>
      </c>
    </row>
    <row r="332" customFormat="false" ht="15" hidden="false" customHeight="false" outlineLevel="0" collapsed="false">
      <c r="A332" s="35" t="s">
        <v>396</v>
      </c>
      <c r="B332" s="36" t="n">
        <v>46242</v>
      </c>
      <c r="C332" s="36" t="n">
        <v>46244</v>
      </c>
      <c r="D332" s="35" t="s">
        <v>48</v>
      </c>
      <c r="E332" s="35" t="s">
        <v>36</v>
      </c>
      <c r="F332" s="35" t="s">
        <v>15</v>
      </c>
      <c r="G332" s="35"/>
      <c r="H332" s="37" t="n">
        <f aca="false">IFERROR(VLOOKUP(D332,Settings!$A$5:$C$14,3,FALSE()),"")</f>
        <v>3</v>
      </c>
      <c r="I332" s="37" t="n">
        <f aca="false">IF(C332="","",C332-B332)</f>
        <v>2</v>
      </c>
      <c r="J332" s="38" t="str">
        <f aca="false">IF(I332="","",IF(I332&gt;H332,"Delayed","On Time"))</f>
        <v>On Time</v>
      </c>
      <c r="K332" s="37" t="str">
        <f aca="false">IF(J332="Delayed",I332-H332,"")</f>
        <v/>
      </c>
    </row>
    <row r="333" customFormat="false" ht="15" hidden="false" customHeight="false" outlineLevel="0" collapsed="false">
      <c r="A333" s="35" t="s">
        <v>397</v>
      </c>
      <c r="B333" s="36" t="n">
        <v>46242</v>
      </c>
      <c r="C333" s="36" t="n">
        <v>46245</v>
      </c>
      <c r="D333" s="35" t="s">
        <v>50</v>
      </c>
      <c r="E333" s="35" t="s">
        <v>33</v>
      </c>
      <c r="F333" s="35" t="s">
        <v>17</v>
      </c>
      <c r="G333" s="35" t="s">
        <v>49</v>
      </c>
      <c r="H333" s="37" t="n">
        <f aca="false">IFERROR(VLOOKUP(D333,Settings!$A$5:$C$14,3,FALSE()),"")</f>
        <v>3</v>
      </c>
      <c r="I333" s="37" t="n">
        <f aca="false">IF(C333="","",C333-B333)</f>
        <v>3</v>
      </c>
      <c r="J333" s="38" t="str">
        <f aca="false">IF(I333="","",IF(I333&gt;H333,"Delayed","On Time"))</f>
        <v>On Time</v>
      </c>
      <c r="K333" s="37" t="str">
        <f aca="false">IF(J333="Delayed",I333-H333,"")</f>
        <v/>
      </c>
    </row>
    <row r="334" customFormat="false" ht="15" hidden="false" customHeight="false" outlineLevel="0" collapsed="false">
      <c r="A334" s="35" t="s">
        <v>398</v>
      </c>
      <c r="B334" s="36" t="n">
        <v>46242</v>
      </c>
      <c r="C334" s="36" t="n">
        <v>46246</v>
      </c>
      <c r="D334" s="35" t="s">
        <v>52</v>
      </c>
      <c r="E334" s="35" t="s">
        <v>34</v>
      </c>
      <c r="F334" s="35" t="s">
        <v>15</v>
      </c>
      <c r="G334" s="35"/>
      <c r="H334" s="37" t="n">
        <f aca="false">IFERROR(VLOOKUP(D334,Settings!$A$5:$C$14,3,FALSE()),"")</f>
        <v>4</v>
      </c>
      <c r="I334" s="37" t="n">
        <f aca="false">IF(C334="","",C334-B334)</f>
        <v>4</v>
      </c>
      <c r="J334" s="38" t="str">
        <f aca="false">IF(I334="","",IF(I334&gt;H334,"Delayed","On Time"))</f>
        <v>On Time</v>
      </c>
      <c r="K334" s="37" t="str">
        <f aca="false">IF(J334="Delayed",I334-H334,"")</f>
        <v/>
      </c>
    </row>
    <row r="335" customFormat="false" ht="15" hidden="false" customHeight="false" outlineLevel="0" collapsed="false">
      <c r="A335" s="35" t="s">
        <v>399</v>
      </c>
      <c r="B335" s="36" t="n">
        <v>46243</v>
      </c>
      <c r="C335" s="36" t="n">
        <v>46247</v>
      </c>
      <c r="D335" s="35" t="s">
        <v>50</v>
      </c>
      <c r="E335" s="35" t="s">
        <v>34</v>
      </c>
      <c r="F335" s="35" t="s">
        <v>15</v>
      </c>
      <c r="G335" s="35"/>
      <c r="H335" s="37" t="n">
        <f aca="false">IFERROR(VLOOKUP(D335,Settings!$A$5:$C$14,3,FALSE()),"")</f>
        <v>3</v>
      </c>
      <c r="I335" s="37" t="n">
        <f aca="false">IF(C335="","",C335-B335)</f>
        <v>4</v>
      </c>
      <c r="J335" s="38" t="str">
        <f aca="false">IF(I335="","",IF(I335&gt;H335,"Delayed","On Time"))</f>
        <v>Delayed</v>
      </c>
      <c r="K335" s="37" t="n">
        <f aca="false">IF(J335="Delayed",I335-H335,"")</f>
        <v>1</v>
      </c>
    </row>
    <row r="336" customFormat="false" ht="15" hidden="false" customHeight="false" outlineLevel="0" collapsed="false">
      <c r="A336" s="35" t="s">
        <v>400</v>
      </c>
      <c r="B336" s="36" t="n">
        <v>46243</v>
      </c>
      <c r="C336" s="36" t="n">
        <v>46250</v>
      </c>
      <c r="D336" s="35" t="s">
        <v>52</v>
      </c>
      <c r="E336" s="35" t="s">
        <v>34</v>
      </c>
      <c r="F336" s="35" t="s">
        <v>15</v>
      </c>
      <c r="G336" s="35"/>
      <c r="H336" s="37" t="n">
        <f aca="false">IFERROR(VLOOKUP(D336,Settings!$A$5:$C$14,3,FALSE()),"")</f>
        <v>4</v>
      </c>
      <c r="I336" s="37" t="n">
        <f aca="false">IF(C336="","",C336-B336)</f>
        <v>7</v>
      </c>
      <c r="J336" s="38" t="str">
        <f aca="false">IF(I336="","",IF(I336&gt;H336,"Delayed","On Time"))</f>
        <v>Delayed</v>
      </c>
      <c r="K336" s="37" t="n">
        <f aca="false">IF(J336="Delayed",I336-H336,"")</f>
        <v>3</v>
      </c>
    </row>
    <row r="337" customFormat="false" ht="15" hidden="false" customHeight="false" outlineLevel="0" collapsed="false">
      <c r="A337" s="35" t="s">
        <v>401</v>
      </c>
      <c r="B337" s="36" t="n">
        <v>46243</v>
      </c>
      <c r="C337" s="36" t="n">
        <v>46249</v>
      </c>
      <c r="D337" s="35" t="s">
        <v>53</v>
      </c>
      <c r="E337" s="35" t="s">
        <v>36</v>
      </c>
      <c r="F337" s="35" t="s">
        <v>15</v>
      </c>
      <c r="G337" s="35"/>
      <c r="H337" s="37" t="n">
        <f aca="false">IFERROR(VLOOKUP(D337,Settings!$A$5:$C$14,3,FALSE()),"")</f>
        <v>5</v>
      </c>
      <c r="I337" s="37" t="n">
        <f aca="false">IF(C337="","",C337-B337)</f>
        <v>6</v>
      </c>
      <c r="J337" s="38" t="str">
        <f aca="false">IF(I337="","",IF(I337&gt;H337,"Delayed","On Time"))</f>
        <v>Delayed</v>
      </c>
      <c r="K337" s="37" t="n">
        <f aca="false">IF(J337="Delayed",I337-H337,"")</f>
        <v>1</v>
      </c>
    </row>
    <row r="338" customFormat="false" ht="15" hidden="false" customHeight="false" outlineLevel="0" collapsed="false">
      <c r="A338" s="35" t="s">
        <v>402</v>
      </c>
      <c r="B338" s="36" t="n">
        <v>46243</v>
      </c>
      <c r="C338" s="36" t="n">
        <v>46247</v>
      </c>
      <c r="D338" s="35" t="s">
        <v>50</v>
      </c>
      <c r="E338" s="35" t="s">
        <v>35</v>
      </c>
      <c r="F338" s="35" t="s">
        <v>15</v>
      </c>
      <c r="G338" s="35"/>
      <c r="H338" s="37" t="n">
        <f aca="false">IFERROR(VLOOKUP(D338,Settings!$A$5:$C$14,3,FALSE()),"")</f>
        <v>3</v>
      </c>
      <c r="I338" s="37" t="n">
        <f aca="false">IF(C338="","",C338-B338)</f>
        <v>4</v>
      </c>
      <c r="J338" s="38" t="str">
        <f aca="false">IF(I338="","",IF(I338&gt;H338,"Delayed","On Time"))</f>
        <v>Delayed</v>
      </c>
      <c r="K338" s="37" t="n">
        <f aca="false">IF(J338="Delayed",I338-H338,"")</f>
        <v>1</v>
      </c>
    </row>
    <row r="339" customFormat="false" ht="15" hidden="false" customHeight="false" outlineLevel="0" collapsed="false">
      <c r="A339" s="35" t="s">
        <v>403</v>
      </c>
      <c r="B339" s="36" t="n">
        <v>46243</v>
      </c>
      <c r="C339" s="36" t="n">
        <v>46246</v>
      </c>
      <c r="D339" s="35" t="s">
        <v>44</v>
      </c>
      <c r="E339" s="35" t="s">
        <v>36</v>
      </c>
      <c r="F339" s="35" t="s">
        <v>15</v>
      </c>
      <c r="G339" s="35"/>
      <c r="H339" s="37" t="n">
        <f aca="false">IFERROR(VLOOKUP(D339,Settings!$A$5:$C$14,3,FALSE()),"")</f>
        <v>3</v>
      </c>
      <c r="I339" s="37" t="n">
        <f aca="false">IF(C339="","",C339-B339)</f>
        <v>3</v>
      </c>
      <c r="J339" s="38" t="str">
        <f aca="false">IF(I339="","",IF(I339&gt;H339,"Delayed","On Time"))</f>
        <v>On Time</v>
      </c>
      <c r="K339" s="37" t="str">
        <f aca="false">IF(J339="Delayed",I339-H339,"")</f>
        <v/>
      </c>
    </row>
    <row r="340" customFormat="false" ht="15" hidden="false" customHeight="false" outlineLevel="0" collapsed="false">
      <c r="A340" s="35" t="s">
        <v>404</v>
      </c>
      <c r="B340" s="36" t="n">
        <v>46243</v>
      </c>
      <c r="C340" s="36" t="n">
        <v>46247</v>
      </c>
      <c r="D340" s="35" t="s">
        <v>52</v>
      </c>
      <c r="E340" s="35" t="s">
        <v>35</v>
      </c>
      <c r="F340" s="35" t="s">
        <v>15</v>
      </c>
      <c r="G340" s="35"/>
      <c r="H340" s="37" t="n">
        <f aca="false">IFERROR(VLOOKUP(D340,Settings!$A$5:$C$14,3,FALSE()),"")</f>
        <v>4</v>
      </c>
      <c r="I340" s="37" t="n">
        <f aca="false">IF(C340="","",C340-B340)</f>
        <v>4</v>
      </c>
      <c r="J340" s="38" t="str">
        <f aca="false">IF(I340="","",IF(I340&gt;H340,"Delayed","On Time"))</f>
        <v>On Time</v>
      </c>
      <c r="K340" s="37" t="str">
        <f aca="false">IF(J340="Delayed",I340-H340,"")</f>
        <v/>
      </c>
    </row>
    <row r="341" customFormat="false" ht="15" hidden="false" customHeight="false" outlineLevel="0" collapsed="false">
      <c r="A341" s="35" t="s">
        <v>405</v>
      </c>
      <c r="B341" s="36" t="n">
        <v>46243</v>
      </c>
      <c r="C341" s="36" t="n">
        <v>46247</v>
      </c>
      <c r="D341" s="35" t="s">
        <v>54</v>
      </c>
      <c r="E341" s="35" t="s">
        <v>35</v>
      </c>
      <c r="F341" s="35" t="s">
        <v>15</v>
      </c>
      <c r="G341" s="35"/>
      <c r="H341" s="37" t="n">
        <f aca="false">IFERROR(VLOOKUP(D341,Settings!$A$5:$C$14,3,FALSE()),"")</f>
        <v>5</v>
      </c>
      <c r="I341" s="37" t="n">
        <f aca="false">IF(C341="","",C341-B341)</f>
        <v>4</v>
      </c>
      <c r="J341" s="38" t="str">
        <f aca="false">IF(I341="","",IF(I341&gt;H341,"Delayed","On Time"))</f>
        <v>On Time</v>
      </c>
      <c r="K341" s="37" t="str">
        <f aca="false">IF(J341="Delayed",I341-H341,"")</f>
        <v/>
      </c>
    </row>
    <row r="342" customFormat="false" ht="15" hidden="false" customHeight="false" outlineLevel="0" collapsed="false">
      <c r="A342" s="35" t="s">
        <v>406</v>
      </c>
      <c r="B342" s="36" t="n">
        <v>46243</v>
      </c>
      <c r="C342" s="36" t="n">
        <v>46247</v>
      </c>
      <c r="D342" s="35" t="s">
        <v>50</v>
      </c>
      <c r="E342" s="35" t="s">
        <v>36</v>
      </c>
      <c r="F342" s="35" t="s">
        <v>15</v>
      </c>
      <c r="G342" s="35"/>
      <c r="H342" s="37" t="n">
        <f aca="false">IFERROR(VLOOKUP(D342,Settings!$A$5:$C$14,3,FALSE()),"")</f>
        <v>3</v>
      </c>
      <c r="I342" s="37" t="n">
        <f aca="false">IF(C342="","",C342-B342)</f>
        <v>4</v>
      </c>
      <c r="J342" s="38" t="str">
        <f aca="false">IF(I342="","",IF(I342&gt;H342,"Delayed","On Time"))</f>
        <v>Delayed</v>
      </c>
      <c r="K342" s="37" t="n">
        <f aca="false">IF(J342="Delayed",I342-H342,"")</f>
        <v>1</v>
      </c>
    </row>
    <row r="343" customFormat="false" ht="15" hidden="false" customHeight="false" outlineLevel="0" collapsed="false">
      <c r="A343" s="35" t="s">
        <v>407</v>
      </c>
      <c r="B343" s="36" t="n">
        <v>46243</v>
      </c>
      <c r="C343" s="36" t="n">
        <v>46247</v>
      </c>
      <c r="D343" s="35" t="s">
        <v>52</v>
      </c>
      <c r="E343" s="35" t="s">
        <v>34</v>
      </c>
      <c r="F343" s="35" t="s">
        <v>15</v>
      </c>
      <c r="G343" s="35"/>
      <c r="H343" s="37" t="n">
        <f aca="false">IFERROR(VLOOKUP(D343,Settings!$A$5:$C$14,3,FALSE()),"")</f>
        <v>4</v>
      </c>
      <c r="I343" s="37" t="n">
        <f aca="false">IF(C343="","",C343-B343)</f>
        <v>4</v>
      </c>
      <c r="J343" s="38" t="str">
        <f aca="false">IF(I343="","",IF(I343&gt;H343,"Delayed","On Time"))</f>
        <v>On Time</v>
      </c>
      <c r="K343" s="37" t="str">
        <f aca="false">IF(J343="Delayed",I343-H343,"")</f>
        <v/>
      </c>
    </row>
    <row r="344" customFormat="false" ht="15" hidden="false" customHeight="false" outlineLevel="0" collapsed="false">
      <c r="A344" s="35" t="s">
        <v>408</v>
      </c>
      <c r="B344" s="36" t="n">
        <v>46243</v>
      </c>
      <c r="C344" s="36" t="n">
        <v>46250</v>
      </c>
      <c r="D344" s="35" t="s">
        <v>57</v>
      </c>
      <c r="E344" s="35" t="s">
        <v>35</v>
      </c>
      <c r="F344" s="35" t="s">
        <v>15</v>
      </c>
      <c r="G344" s="35"/>
      <c r="H344" s="37" t="n">
        <f aca="false">IFERROR(VLOOKUP(D344,Settings!$A$5:$C$14,3,FALSE()),"")</f>
        <v>7</v>
      </c>
      <c r="I344" s="37" t="n">
        <f aca="false">IF(C344="","",C344-B344)</f>
        <v>7</v>
      </c>
      <c r="J344" s="38" t="str">
        <f aca="false">IF(I344="","",IF(I344&gt;H344,"Delayed","On Time"))</f>
        <v>On Time</v>
      </c>
      <c r="K344" s="37" t="str">
        <f aca="false">IF(J344="Delayed",I344-H344,"")</f>
        <v/>
      </c>
    </row>
    <row r="345" customFormat="false" ht="15" hidden="false" customHeight="false" outlineLevel="0" collapsed="false">
      <c r="A345" s="35" t="s">
        <v>409</v>
      </c>
      <c r="B345" s="36" t="n">
        <v>46243</v>
      </c>
      <c r="C345" s="36" t="n">
        <v>46249</v>
      </c>
      <c r="D345" s="35" t="s">
        <v>53</v>
      </c>
      <c r="E345" s="35" t="s">
        <v>36</v>
      </c>
      <c r="F345" s="35" t="s">
        <v>15</v>
      </c>
      <c r="G345" s="35"/>
      <c r="H345" s="37" t="n">
        <f aca="false">IFERROR(VLOOKUP(D345,Settings!$A$5:$C$14,3,FALSE()),"")</f>
        <v>5</v>
      </c>
      <c r="I345" s="37" t="n">
        <f aca="false">IF(C345="","",C345-B345)</f>
        <v>6</v>
      </c>
      <c r="J345" s="38" t="str">
        <f aca="false">IF(I345="","",IF(I345&gt;H345,"Delayed","On Time"))</f>
        <v>Delayed</v>
      </c>
      <c r="K345" s="37" t="n">
        <f aca="false">IF(J345="Delayed",I345-H345,"")</f>
        <v>1</v>
      </c>
    </row>
    <row r="346" customFormat="false" ht="15" hidden="false" customHeight="false" outlineLevel="0" collapsed="false">
      <c r="A346" s="35" t="s">
        <v>410</v>
      </c>
      <c r="B346" s="36" t="n">
        <v>46244</v>
      </c>
      <c r="C346" s="36" t="n">
        <v>46249</v>
      </c>
      <c r="D346" s="35" t="s">
        <v>46</v>
      </c>
      <c r="E346" s="35" t="s">
        <v>35</v>
      </c>
      <c r="F346" s="35" t="s">
        <v>15</v>
      </c>
      <c r="G346" s="35"/>
      <c r="H346" s="37" t="n">
        <f aca="false">IFERROR(VLOOKUP(D346,Settings!$A$5:$C$14,3,FALSE()),"")</f>
        <v>3</v>
      </c>
      <c r="I346" s="37" t="n">
        <f aca="false">IF(C346="","",C346-B346)</f>
        <v>5</v>
      </c>
      <c r="J346" s="38" t="str">
        <f aca="false">IF(I346="","",IF(I346&gt;H346,"Delayed","On Time"))</f>
        <v>Delayed</v>
      </c>
      <c r="K346" s="37" t="n">
        <f aca="false">IF(J346="Delayed",I346-H346,"")</f>
        <v>2</v>
      </c>
    </row>
    <row r="347" customFormat="false" ht="15" hidden="false" customHeight="false" outlineLevel="0" collapsed="false">
      <c r="A347" s="35" t="s">
        <v>411</v>
      </c>
      <c r="B347" s="36" t="n">
        <v>46244</v>
      </c>
      <c r="C347" s="36" t="n">
        <v>46248</v>
      </c>
      <c r="D347" s="35" t="s">
        <v>52</v>
      </c>
      <c r="E347" s="35" t="s">
        <v>33</v>
      </c>
      <c r="F347" s="35" t="s">
        <v>15</v>
      </c>
      <c r="G347" s="35"/>
      <c r="H347" s="37" t="n">
        <f aca="false">IFERROR(VLOOKUP(D347,Settings!$A$5:$C$14,3,FALSE()),"")</f>
        <v>4</v>
      </c>
      <c r="I347" s="37" t="n">
        <f aca="false">IF(C347="","",C347-B347)</f>
        <v>4</v>
      </c>
      <c r="J347" s="38" t="str">
        <f aca="false">IF(I347="","",IF(I347&gt;H347,"Delayed","On Time"))</f>
        <v>On Time</v>
      </c>
      <c r="K347" s="37" t="str">
        <f aca="false">IF(J347="Delayed",I347-H347,"")</f>
        <v/>
      </c>
    </row>
    <row r="348" customFormat="false" ht="15" hidden="false" customHeight="false" outlineLevel="0" collapsed="false">
      <c r="A348" s="35" t="s">
        <v>412</v>
      </c>
      <c r="B348" s="36" t="n">
        <v>46244</v>
      </c>
      <c r="C348" s="36" t="n">
        <v>46251</v>
      </c>
      <c r="D348" s="35" t="s">
        <v>55</v>
      </c>
      <c r="E348" s="35" t="s">
        <v>35</v>
      </c>
      <c r="F348" s="35" t="s">
        <v>15</v>
      </c>
      <c r="G348" s="35"/>
      <c r="H348" s="37" t="n">
        <f aca="false">IFERROR(VLOOKUP(D348,Settings!$A$5:$C$14,3,FALSE()),"")</f>
        <v>5</v>
      </c>
      <c r="I348" s="37" t="n">
        <f aca="false">IF(C348="","",C348-B348)</f>
        <v>7</v>
      </c>
      <c r="J348" s="38" t="str">
        <f aca="false">IF(I348="","",IF(I348&gt;H348,"Delayed","On Time"))</f>
        <v>Delayed</v>
      </c>
      <c r="K348" s="37" t="n">
        <f aca="false">IF(J348="Delayed",I348-H348,"")</f>
        <v>2</v>
      </c>
    </row>
    <row r="349" customFormat="false" ht="15" hidden="false" customHeight="false" outlineLevel="0" collapsed="false">
      <c r="A349" s="35" t="s">
        <v>413</v>
      </c>
      <c r="B349" s="36" t="n">
        <v>46244</v>
      </c>
      <c r="C349" s="36" t="n">
        <v>46245</v>
      </c>
      <c r="D349" s="35" t="s">
        <v>46</v>
      </c>
      <c r="E349" s="35" t="s">
        <v>33</v>
      </c>
      <c r="F349" s="35" t="s">
        <v>15</v>
      </c>
      <c r="G349" s="35"/>
      <c r="H349" s="37" t="n">
        <f aca="false">IFERROR(VLOOKUP(D349,Settings!$A$5:$C$14,3,FALSE()),"")</f>
        <v>3</v>
      </c>
      <c r="I349" s="37" t="n">
        <f aca="false">IF(C349="","",C349-B349)</f>
        <v>1</v>
      </c>
      <c r="J349" s="38" t="str">
        <f aca="false">IF(I349="","",IF(I349&gt;H349,"Delayed","On Time"))</f>
        <v>On Time</v>
      </c>
      <c r="K349" s="37" t="str">
        <f aca="false">IF(J349="Delayed",I349-H349,"")</f>
        <v/>
      </c>
    </row>
    <row r="350" customFormat="false" ht="15" hidden="false" customHeight="false" outlineLevel="0" collapsed="false">
      <c r="A350" s="35" t="s">
        <v>414</v>
      </c>
      <c r="B350" s="36" t="n">
        <v>46244</v>
      </c>
      <c r="C350" s="36" t="n">
        <v>46246</v>
      </c>
      <c r="D350" s="35" t="s">
        <v>48</v>
      </c>
      <c r="E350" s="35" t="s">
        <v>33</v>
      </c>
      <c r="F350" s="35" t="s">
        <v>15</v>
      </c>
      <c r="G350" s="35"/>
      <c r="H350" s="37" t="n">
        <f aca="false">IFERROR(VLOOKUP(D350,Settings!$A$5:$C$14,3,FALSE()),"")</f>
        <v>3</v>
      </c>
      <c r="I350" s="37" t="n">
        <f aca="false">IF(C350="","",C350-B350)</f>
        <v>2</v>
      </c>
      <c r="J350" s="38" t="str">
        <f aca="false">IF(I350="","",IF(I350&gt;H350,"Delayed","On Time"))</f>
        <v>On Time</v>
      </c>
      <c r="K350" s="37" t="str">
        <f aca="false">IF(J350="Delayed",I350-H350,"")</f>
        <v/>
      </c>
    </row>
    <row r="351" customFormat="false" ht="15" hidden="false" customHeight="false" outlineLevel="0" collapsed="false">
      <c r="A351" s="35" t="s">
        <v>415</v>
      </c>
      <c r="B351" s="36" t="n">
        <v>46244</v>
      </c>
      <c r="C351" s="36" t="n">
        <v>46249</v>
      </c>
      <c r="D351" s="35" t="s">
        <v>48</v>
      </c>
      <c r="E351" s="35" t="s">
        <v>35</v>
      </c>
      <c r="F351" s="35" t="s">
        <v>15</v>
      </c>
      <c r="G351" s="35"/>
      <c r="H351" s="37" t="n">
        <f aca="false">IFERROR(VLOOKUP(D351,Settings!$A$5:$C$14,3,FALSE()),"")</f>
        <v>3</v>
      </c>
      <c r="I351" s="37" t="n">
        <f aca="false">IF(C351="","",C351-B351)</f>
        <v>5</v>
      </c>
      <c r="J351" s="38" t="str">
        <f aca="false">IF(I351="","",IF(I351&gt;H351,"Delayed","On Time"))</f>
        <v>Delayed</v>
      </c>
      <c r="K351" s="37" t="n">
        <f aca="false">IF(J351="Delayed",I351-H351,"")</f>
        <v>2</v>
      </c>
    </row>
    <row r="352" customFormat="false" ht="15" hidden="false" customHeight="false" outlineLevel="0" collapsed="false">
      <c r="A352" s="35" t="s">
        <v>416</v>
      </c>
      <c r="B352" s="36" t="n">
        <v>46244</v>
      </c>
      <c r="C352" s="36" t="n">
        <v>46249</v>
      </c>
      <c r="D352" s="35" t="s">
        <v>44</v>
      </c>
      <c r="E352" s="35" t="s">
        <v>33</v>
      </c>
      <c r="F352" s="35" t="s">
        <v>15</v>
      </c>
      <c r="G352" s="35"/>
      <c r="H352" s="37" t="n">
        <f aca="false">IFERROR(VLOOKUP(D352,Settings!$A$5:$C$14,3,FALSE()),"")</f>
        <v>3</v>
      </c>
      <c r="I352" s="37" t="n">
        <f aca="false">IF(C352="","",C352-B352)</f>
        <v>5</v>
      </c>
      <c r="J352" s="38" t="str">
        <f aca="false">IF(I352="","",IF(I352&gt;H352,"Delayed","On Time"))</f>
        <v>Delayed</v>
      </c>
      <c r="K352" s="37" t="n">
        <f aca="false">IF(J352="Delayed",I352-H352,"")</f>
        <v>2</v>
      </c>
    </row>
    <row r="353" customFormat="false" ht="15" hidden="false" customHeight="false" outlineLevel="0" collapsed="false">
      <c r="A353" s="35" t="s">
        <v>417</v>
      </c>
      <c r="B353" s="36" t="n">
        <v>46244</v>
      </c>
      <c r="C353" s="36" t="n">
        <v>46247</v>
      </c>
      <c r="D353" s="35" t="s">
        <v>44</v>
      </c>
      <c r="E353" s="35" t="s">
        <v>36</v>
      </c>
      <c r="F353" s="35" t="s">
        <v>15</v>
      </c>
      <c r="G353" s="35"/>
      <c r="H353" s="37" t="n">
        <f aca="false">IFERROR(VLOOKUP(D353,Settings!$A$5:$C$14,3,FALSE()),"")</f>
        <v>3</v>
      </c>
      <c r="I353" s="37" t="n">
        <f aca="false">IF(C353="","",C353-B353)</f>
        <v>3</v>
      </c>
      <c r="J353" s="38" t="str">
        <f aca="false">IF(I353="","",IF(I353&gt;H353,"Delayed","On Time"))</f>
        <v>On Time</v>
      </c>
      <c r="K353" s="37" t="str">
        <f aca="false">IF(J353="Delayed",I353-H353,"")</f>
        <v/>
      </c>
    </row>
    <row r="354" customFormat="false" ht="15" hidden="false" customHeight="false" outlineLevel="0" collapsed="false">
      <c r="A354" s="35" t="s">
        <v>418</v>
      </c>
      <c r="B354" s="36" t="n">
        <v>46245</v>
      </c>
      <c r="C354" s="36" t="n">
        <v>46249</v>
      </c>
      <c r="D354" s="35" t="s">
        <v>55</v>
      </c>
      <c r="E354" s="35" t="s">
        <v>36</v>
      </c>
      <c r="F354" s="35" t="s">
        <v>15</v>
      </c>
      <c r="G354" s="35"/>
      <c r="H354" s="37" t="n">
        <f aca="false">IFERROR(VLOOKUP(D354,Settings!$A$5:$C$14,3,FALSE()),"")</f>
        <v>5</v>
      </c>
      <c r="I354" s="37" t="n">
        <f aca="false">IF(C354="","",C354-B354)</f>
        <v>4</v>
      </c>
      <c r="J354" s="38" t="str">
        <f aca="false">IF(I354="","",IF(I354&gt;H354,"Delayed","On Time"))</f>
        <v>On Time</v>
      </c>
      <c r="K354" s="37" t="str">
        <f aca="false">IF(J354="Delayed",I354-H354,"")</f>
        <v/>
      </c>
    </row>
    <row r="355" customFormat="false" ht="15" hidden="false" customHeight="false" outlineLevel="0" collapsed="false">
      <c r="A355" s="35" t="s">
        <v>419</v>
      </c>
      <c r="B355" s="36" t="n">
        <v>46245</v>
      </c>
      <c r="C355" s="36"/>
      <c r="D355" s="35" t="s">
        <v>52</v>
      </c>
      <c r="E355" s="35" t="s">
        <v>36</v>
      </c>
      <c r="F355" s="35" t="s">
        <v>18</v>
      </c>
      <c r="G355" s="35" t="s">
        <v>47</v>
      </c>
      <c r="H355" s="37" t="n">
        <f aca="false">IFERROR(VLOOKUP(D355,Settings!$A$5:$C$14,3,FALSE()),"")</f>
        <v>4</v>
      </c>
      <c r="I355" s="37" t="str">
        <f aca="false">IF(C355="","",C355-B355)</f>
        <v/>
      </c>
      <c r="J355" s="38" t="str">
        <f aca="false">IF(I355="","",IF(I355&gt;H355,"Delayed","On Time"))</f>
        <v/>
      </c>
      <c r="K355" s="37" t="str">
        <f aca="false">IF(J355="Delayed",I355-H355,"")</f>
        <v/>
      </c>
    </row>
    <row r="356" customFormat="false" ht="15" hidden="false" customHeight="false" outlineLevel="0" collapsed="false">
      <c r="A356" s="35" t="s">
        <v>420</v>
      </c>
      <c r="B356" s="36" t="n">
        <v>46245</v>
      </c>
      <c r="C356" s="36" t="n">
        <v>46247</v>
      </c>
      <c r="D356" s="35" t="s">
        <v>48</v>
      </c>
      <c r="E356" s="35" t="s">
        <v>36</v>
      </c>
      <c r="F356" s="35" t="s">
        <v>15</v>
      </c>
      <c r="G356" s="35"/>
      <c r="H356" s="37" t="n">
        <f aca="false">IFERROR(VLOOKUP(D356,Settings!$A$5:$C$14,3,FALSE()),"")</f>
        <v>3</v>
      </c>
      <c r="I356" s="37" t="n">
        <f aca="false">IF(C356="","",C356-B356)</f>
        <v>2</v>
      </c>
      <c r="J356" s="38" t="str">
        <f aca="false">IF(I356="","",IF(I356&gt;H356,"Delayed","On Time"))</f>
        <v>On Time</v>
      </c>
      <c r="K356" s="37" t="str">
        <f aca="false">IF(J356="Delayed",I356-H356,"")</f>
        <v/>
      </c>
    </row>
    <row r="357" customFormat="false" ht="15" hidden="false" customHeight="false" outlineLevel="0" collapsed="false">
      <c r="A357" s="35" t="s">
        <v>421</v>
      </c>
      <c r="B357" s="36" t="n">
        <v>46245</v>
      </c>
      <c r="C357" s="36" t="n">
        <v>46250</v>
      </c>
      <c r="D357" s="35" t="s">
        <v>55</v>
      </c>
      <c r="E357" s="35" t="s">
        <v>34</v>
      </c>
      <c r="F357" s="35" t="s">
        <v>17</v>
      </c>
      <c r="G357" s="35" t="s">
        <v>43</v>
      </c>
      <c r="H357" s="37" t="n">
        <f aca="false">IFERROR(VLOOKUP(D357,Settings!$A$5:$C$14,3,FALSE()),"")</f>
        <v>5</v>
      </c>
      <c r="I357" s="37" t="n">
        <f aca="false">IF(C357="","",C357-B357)</f>
        <v>5</v>
      </c>
      <c r="J357" s="38" t="str">
        <f aca="false">IF(I357="","",IF(I357&gt;H357,"Delayed","On Time"))</f>
        <v>On Time</v>
      </c>
      <c r="K357" s="37" t="str">
        <f aca="false">IF(J357="Delayed",I357-H357,"")</f>
        <v/>
      </c>
    </row>
    <row r="358" customFormat="false" ht="15" hidden="false" customHeight="false" outlineLevel="0" collapsed="false">
      <c r="A358" s="35" t="s">
        <v>422</v>
      </c>
      <c r="B358" s="36" t="n">
        <v>46245</v>
      </c>
      <c r="C358" s="36" t="n">
        <v>46247</v>
      </c>
      <c r="D358" s="35" t="s">
        <v>50</v>
      </c>
      <c r="E358" s="35" t="s">
        <v>36</v>
      </c>
      <c r="F358" s="35" t="s">
        <v>15</v>
      </c>
      <c r="G358" s="35"/>
      <c r="H358" s="37" t="n">
        <f aca="false">IFERROR(VLOOKUP(D358,Settings!$A$5:$C$14,3,FALSE()),"")</f>
        <v>3</v>
      </c>
      <c r="I358" s="37" t="n">
        <f aca="false">IF(C358="","",C358-B358)</f>
        <v>2</v>
      </c>
      <c r="J358" s="38" t="str">
        <f aca="false">IF(I358="","",IF(I358&gt;H358,"Delayed","On Time"))</f>
        <v>On Time</v>
      </c>
      <c r="K358" s="37" t="str">
        <f aca="false">IF(J358="Delayed",I358-H358,"")</f>
        <v/>
      </c>
    </row>
    <row r="359" customFormat="false" ht="15" hidden="false" customHeight="false" outlineLevel="0" collapsed="false">
      <c r="A359" s="35" t="s">
        <v>423</v>
      </c>
      <c r="B359" s="36" t="n">
        <v>46245</v>
      </c>
      <c r="C359" s="36" t="n">
        <v>46247</v>
      </c>
      <c r="D359" s="35" t="s">
        <v>44</v>
      </c>
      <c r="E359" s="35" t="s">
        <v>34</v>
      </c>
      <c r="F359" s="35" t="s">
        <v>15</v>
      </c>
      <c r="G359" s="35"/>
      <c r="H359" s="37" t="n">
        <f aca="false">IFERROR(VLOOKUP(D359,Settings!$A$5:$C$14,3,FALSE()),"")</f>
        <v>3</v>
      </c>
      <c r="I359" s="37" t="n">
        <f aca="false">IF(C359="","",C359-B359)</f>
        <v>2</v>
      </c>
      <c r="J359" s="38" t="str">
        <f aca="false">IF(I359="","",IF(I359&gt;H359,"Delayed","On Time"))</f>
        <v>On Time</v>
      </c>
      <c r="K359" s="37" t="str">
        <f aca="false">IF(J359="Delayed",I359-H359,"")</f>
        <v/>
      </c>
    </row>
    <row r="360" customFormat="false" ht="15" hidden="false" customHeight="false" outlineLevel="0" collapsed="false">
      <c r="A360" s="35" t="s">
        <v>424</v>
      </c>
      <c r="B360" s="36" t="n">
        <v>46245</v>
      </c>
      <c r="C360" s="36" t="n">
        <v>46247</v>
      </c>
      <c r="D360" s="35" t="s">
        <v>46</v>
      </c>
      <c r="E360" s="35" t="s">
        <v>35</v>
      </c>
      <c r="F360" s="35" t="s">
        <v>15</v>
      </c>
      <c r="G360" s="35"/>
      <c r="H360" s="37" t="n">
        <f aca="false">IFERROR(VLOOKUP(D360,Settings!$A$5:$C$14,3,FALSE()),"")</f>
        <v>3</v>
      </c>
      <c r="I360" s="37" t="n">
        <f aca="false">IF(C360="","",C360-B360)</f>
        <v>2</v>
      </c>
      <c r="J360" s="38" t="str">
        <f aca="false">IF(I360="","",IF(I360&gt;H360,"Delayed","On Time"))</f>
        <v>On Time</v>
      </c>
      <c r="K360" s="37" t="str">
        <f aca="false">IF(J360="Delayed",I360-H360,"")</f>
        <v/>
      </c>
    </row>
    <row r="361" customFormat="false" ht="15" hidden="false" customHeight="false" outlineLevel="0" collapsed="false">
      <c r="A361" s="35" t="s">
        <v>425</v>
      </c>
      <c r="B361" s="36" t="n">
        <v>46245</v>
      </c>
      <c r="C361" s="36" t="n">
        <v>46249</v>
      </c>
      <c r="D361" s="35" t="s">
        <v>44</v>
      </c>
      <c r="E361" s="35" t="s">
        <v>36</v>
      </c>
      <c r="F361" s="35" t="s">
        <v>15</v>
      </c>
      <c r="G361" s="35"/>
      <c r="H361" s="37" t="n">
        <f aca="false">IFERROR(VLOOKUP(D361,Settings!$A$5:$C$14,3,FALSE()),"")</f>
        <v>3</v>
      </c>
      <c r="I361" s="37" t="n">
        <f aca="false">IF(C361="","",C361-B361)</f>
        <v>4</v>
      </c>
      <c r="J361" s="38" t="str">
        <f aca="false">IF(I361="","",IF(I361&gt;H361,"Delayed","On Time"))</f>
        <v>Delayed</v>
      </c>
      <c r="K361" s="37" t="n">
        <f aca="false">IF(J361="Delayed",I361-H361,"")</f>
        <v>1</v>
      </c>
    </row>
    <row r="362" customFormat="false" ht="15" hidden="false" customHeight="false" outlineLevel="0" collapsed="false">
      <c r="A362" s="35" t="s">
        <v>426</v>
      </c>
      <c r="B362" s="36" t="n">
        <v>46245</v>
      </c>
      <c r="C362" s="36" t="n">
        <v>46248</v>
      </c>
      <c r="D362" s="35" t="s">
        <v>46</v>
      </c>
      <c r="E362" s="35" t="s">
        <v>35</v>
      </c>
      <c r="F362" s="35" t="s">
        <v>15</v>
      </c>
      <c r="G362" s="35"/>
      <c r="H362" s="37" t="n">
        <f aca="false">IFERROR(VLOOKUP(D362,Settings!$A$5:$C$14,3,FALSE()),"")</f>
        <v>3</v>
      </c>
      <c r="I362" s="37" t="n">
        <f aca="false">IF(C362="","",C362-B362)</f>
        <v>3</v>
      </c>
      <c r="J362" s="38" t="str">
        <f aca="false">IF(I362="","",IF(I362&gt;H362,"Delayed","On Time"))</f>
        <v>On Time</v>
      </c>
      <c r="K362" s="37" t="str">
        <f aca="false">IF(J362="Delayed",I362-H362,"")</f>
        <v/>
      </c>
    </row>
    <row r="363" customFormat="false" ht="15" hidden="false" customHeight="false" outlineLevel="0" collapsed="false">
      <c r="A363" s="35" t="s">
        <v>427</v>
      </c>
      <c r="B363" s="36" t="n">
        <v>46246</v>
      </c>
      <c r="C363" s="36" t="n">
        <v>46249</v>
      </c>
      <c r="D363" s="35" t="s">
        <v>46</v>
      </c>
      <c r="E363" s="35" t="s">
        <v>36</v>
      </c>
      <c r="F363" s="35" t="s">
        <v>15</v>
      </c>
      <c r="G363" s="35"/>
      <c r="H363" s="37" t="n">
        <f aca="false">IFERROR(VLOOKUP(D363,Settings!$A$5:$C$14,3,FALSE()),"")</f>
        <v>3</v>
      </c>
      <c r="I363" s="37" t="n">
        <f aca="false">IF(C363="","",C363-B363)</f>
        <v>3</v>
      </c>
      <c r="J363" s="38" t="str">
        <f aca="false">IF(I363="","",IF(I363&gt;H363,"Delayed","On Time"))</f>
        <v>On Time</v>
      </c>
      <c r="K363" s="37" t="str">
        <f aca="false">IF(J363="Delayed",I363-H363,"")</f>
        <v/>
      </c>
    </row>
    <row r="364" customFormat="false" ht="15" hidden="false" customHeight="false" outlineLevel="0" collapsed="false">
      <c r="A364" s="35" t="s">
        <v>428</v>
      </c>
      <c r="B364" s="36" t="n">
        <v>46246</v>
      </c>
      <c r="C364" s="36" t="n">
        <v>46250</v>
      </c>
      <c r="D364" s="35" t="s">
        <v>48</v>
      </c>
      <c r="E364" s="35" t="s">
        <v>33</v>
      </c>
      <c r="F364" s="35" t="s">
        <v>15</v>
      </c>
      <c r="G364" s="35"/>
      <c r="H364" s="37" t="n">
        <f aca="false">IFERROR(VLOOKUP(D364,Settings!$A$5:$C$14,3,FALSE()),"")</f>
        <v>3</v>
      </c>
      <c r="I364" s="37" t="n">
        <f aca="false">IF(C364="","",C364-B364)</f>
        <v>4</v>
      </c>
      <c r="J364" s="38" t="str">
        <f aca="false">IF(I364="","",IF(I364&gt;H364,"Delayed","On Time"))</f>
        <v>Delayed</v>
      </c>
      <c r="K364" s="37" t="n">
        <f aca="false">IF(J364="Delayed",I364-H364,"")</f>
        <v>1</v>
      </c>
    </row>
    <row r="365" customFormat="false" ht="15" hidden="false" customHeight="false" outlineLevel="0" collapsed="false">
      <c r="A365" s="35" t="s">
        <v>429</v>
      </c>
      <c r="B365" s="36" t="n">
        <v>46246</v>
      </c>
      <c r="C365" s="36" t="n">
        <v>46251</v>
      </c>
      <c r="D365" s="35" t="s">
        <v>46</v>
      </c>
      <c r="E365" s="35" t="s">
        <v>34</v>
      </c>
      <c r="F365" s="35" t="s">
        <v>15</v>
      </c>
      <c r="G365" s="35"/>
      <c r="H365" s="37" t="n">
        <f aca="false">IFERROR(VLOOKUP(D365,Settings!$A$5:$C$14,3,FALSE()),"")</f>
        <v>3</v>
      </c>
      <c r="I365" s="37" t="n">
        <f aca="false">IF(C365="","",C365-B365)</f>
        <v>5</v>
      </c>
      <c r="J365" s="38" t="str">
        <f aca="false">IF(I365="","",IF(I365&gt;H365,"Delayed","On Time"))</f>
        <v>Delayed</v>
      </c>
      <c r="K365" s="37" t="n">
        <f aca="false">IF(J365="Delayed",I365-H365,"")</f>
        <v>2</v>
      </c>
    </row>
    <row r="366" customFormat="false" ht="15" hidden="false" customHeight="false" outlineLevel="0" collapsed="false">
      <c r="A366" s="35" t="s">
        <v>430</v>
      </c>
      <c r="B366" s="36" t="n">
        <v>46246</v>
      </c>
      <c r="C366" s="36" t="n">
        <v>46249</v>
      </c>
      <c r="D366" s="35" t="s">
        <v>44</v>
      </c>
      <c r="E366" s="35" t="s">
        <v>33</v>
      </c>
      <c r="F366" s="35" t="s">
        <v>15</v>
      </c>
      <c r="G366" s="35"/>
      <c r="H366" s="37" t="n">
        <f aca="false">IFERROR(VLOOKUP(D366,Settings!$A$5:$C$14,3,FALSE()),"")</f>
        <v>3</v>
      </c>
      <c r="I366" s="37" t="n">
        <f aca="false">IF(C366="","",C366-B366)</f>
        <v>3</v>
      </c>
      <c r="J366" s="38" t="str">
        <f aca="false">IF(I366="","",IF(I366&gt;H366,"Delayed","On Time"))</f>
        <v>On Time</v>
      </c>
      <c r="K366" s="37" t="str">
        <f aca="false">IF(J366="Delayed",I366-H366,"")</f>
        <v/>
      </c>
    </row>
    <row r="367" customFormat="false" ht="15" hidden="false" customHeight="false" outlineLevel="0" collapsed="false">
      <c r="A367" s="35" t="s">
        <v>431</v>
      </c>
      <c r="B367" s="36" t="n">
        <v>46246</v>
      </c>
      <c r="C367" s="36" t="n">
        <v>46249</v>
      </c>
      <c r="D367" s="35" t="s">
        <v>48</v>
      </c>
      <c r="E367" s="35" t="s">
        <v>35</v>
      </c>
      <c r="F367" s="35" t="s">
        <v>15</v>
      </c>
      <c r="G367" s="35"/>
      <c r="H367" s="37" t="n">
        <f aca="false">IFERROR(VLOOKUP(D367,Settings!$A$5:$C$14,3,FALSE()),"")</f>
        <v>3</v>
      </c>
      <c r="I367" s="37" t="n">
        <f aca="false">IF(C367="","",C367-B367)</f>
        <v>3</v>
      </c>
      <c r="J367" s="38" t="str">
        <f aca="false">IF(I367="","",IF(I367&gt;H367,"Delayed","On Time"))</f>
        <v>On Time</v>
      </c>
      <c r="K367" s="37" t="str">
        <f aca="false">IF(J367="Delayed",I367-H367,"")</f>
        <v/>
      </c>
    </row>
    <row r="368" customFormat="false" ht="15" hidden="false" customHeight="false" outlineLevel="0" collapsed="false">
      <c r="A368" s="35" t="s">
        <v>432</v>
      </c>
      <c r="B368" s="36" t="n">
        <v>46247</v>
      </c>
      <c r="C368" s="36"/>
      <c r="D368" s="35" t="s">
        <v>44</v>
      </c>
      <c r="E368" s="35" t="s">
        <v>36</v>
      </c>
      <c r="F368" s="35" t="s">
        <v>18</v>
      </c>
      <c r="G368" s="35" t="s">
        <v>49</v>
      </c>
      <c r="H368" s="37" t="n">
        <f aca="false">IFERROR(VLOOKUP(D368,Settings!$A$5:$C$14,3,FALSE()),"")</f>
        <v>3</v>
      </c>
      <c r="I368" s="37" t="str">
        <f aca="false">IF(C368="","",C368-B368)</f>
        <v/>
      </c>
      <c r="J368" s="38" t="str">
        <f aca="false">IF(I368="","",IF(I368&gt;H368,"Delayed","On Time"))</f>
        <v/>
      </c>
      <c r="K368" s="37" t="str">
        <f aca="false">IF(J368="Delayed",I368-H368,"")</f>
        <v/>
      </c>
    </row>
    <row r="369" customFormat="false" ht="15" hidden="false" customHeight="false" outlineLevel="0" collapsed="false">
      <c r="A369" s="35" t="s">
        <v>433</v>
      </c>
      <c r="B369" s="36" t="n">
        <v>46247</v>
      </c>
      <c r="C369" s="36" t="n">
        <v>46255</v>
      </c>
      <c r="D369" s="35" t="s">
        <v>57</v>
      </c>
      <c r="E369" s="35" t="s">
        <v>36</v>
      </c>
      <c r="F369" s="35" t="s">
        <v>15</v>
      </c>
      <c r="G369" s="35"/>
      <c r="H369" s="37" t="n">
        <f aca="false">IFERROR(VLOOKUP(D369,Settings!$A$5:$C$14,3,FALSE()),"")</f>
        <v>7</v>
      </c>
      <c r="I369" s="37" t="n">
        <f aca="false">IF(C369="","",C369-B369)</f>
        <v>8</v>
      </c>
      <c r="J369" s="38" t="str">
        <f aca="false">IF(I369="","",IF(I369&gt;H369,"Delayed","On Time"))</f>
        <v>Delayed</v>
      </c>
      <c r="K369" s="37" t="n">
        <f aca="false">IF(J369="Delayed",I369-H369,"")</f>
        <v>1</v>
      </c>
    </row>
    <row r="370" customFormat="false" ht="15" hidden="false" customHeight="false" outlineLevel="0" collapsed="false">
      <c r="A370" s="35" t="s">
        <v>434</v>
      </c>
      <c r="B370" s="36" t="n">
        <v>46247</v>
      </c>
      <c r="C370" s="36" t="n">
        <v>46249</v>
      </c>
      <c r="D370" s="35" t="s">
        <v>48</v>
      </c>
      <c r="E370" s="35" t="s">
        <v>33</v>
      </c>
      <c r="F370" s="35" t="s">
        <v>15</v>
      </c>
      <c r="G370" s="35"/>
      <c r="H370" s="37" t="n">
        <f aca="false">IFERROR(VLOOKUP(D370,Settings!$A$5:$C$14,3,FALSE()),"")</f>
        <v>3</v>
      </c>
      <c r="I370" s="37" t="n">
        <f aca="false">IF(C370="","",C370-B370)</f>
        <v>2</v>
      </c>
      <c r="J370" s="38" t="str">
        <f aca="false">IF(I370="","",IF(I370&gt;H370,"Delayed","On Time"))</f>
        <v>On Time</v>
      </c>
      <c r="K370" s="37" t="str">
        <f aca="false">IF(J370="Delayed",I370-H370,"")</f>
        <v/>
      </c>
    </row>
    <row r="371" customFormat="false" ht="15" hidden="false" customHeight="false" outlineLevel="0" collapsed="false">
      <c r="A371" s="35" t="s">
        <v>435</v>
      </c>
      <c r="B371" s="36" t="n">
        <v>46247</v>
      </c>
      <c r="C371" s="36" t="n">
        <v>46250</v>
      </c>
      <c r="D371" s="35" t="s">
        <v>50</v>
      </c>
      <c r="E371" s="35" t="s">
        <v>36</v>
      </c>
      <c r="F371" s="35" t="s">
        <v>15</v>
      </c>
      <c r="G371" s="35"/>
      <c r="H371" s="37" t="n">
        <f aca="false">IFERROR(VLOOKUP(D371,Settings!$A$5:$C$14,3,FALSE()),"")</f>
        <v>3</v>
      </c>
      <c r="I371" s="37" t="n">
        <f aca="false">IF(C371="","",C371-B371)</f>
        <v>3</v>
      </c>
      <c r="J371" s="38" t="str">
        <f aca="false">IF(I371="","",IF(I371&gt;H371,"Delayed","On Time"))</f>
        <v>On Time</v>
      </c>
      <c r="K371" s="37" t="str">
        <f aca="false">IF(J371="Delayed",I371-H371,"")</f>
        <v/>
      </c>
    </row>
    <row r="372" customFormat="false" ht="15" hidden="false" customHeight="false" outlineLevel="0" collapsed="false">
      <c r="A372" s="35" t="s">
        <v>436</v>
      </c>
      <c r="B372" s="36" t="n">
        <v>46247</v>
      </c>
      <c r="C372" s="36" t="n">
        <v>46251</v>
      </c>
      <c r="D372" s="35" t="s">
        <v>53</v>
      </c>
      <c r="E372" s="35" t="s">
        <v>33</v>
      </c>
      <c r="F372" s="35" t="s">
        <v>15</v>
      </c>
      <c r="G372" s="35"/>
      <c r="H372" s="37" t="n">
        <f aca="false">IFERROR(VLOOKUP(D372,Settings!$A$5:$C$14,3,FALSE()),"")</f>
        <v>5</v>
      </c>
      <c r="I372" s="37" t="n">
        <f aca="false">IF(C372="","",C372-B372)</f>
        <v>4</v>
      </c>
      <c r="J372" s="38" t="str">
        <f aca="false">IF(I372="","",IF(I372&gt;H372,"Delayed","On Time"))</f>
        <v>On Time</v>
      </c>
      <c r="K372" s="37" t="str">
        <f aca="false">IF(J372="Delayed",I372-H372,"")</f>
        <v/>
      </c>
    </row>
    <row r="373" customFormat="false" ht="15" hidden="false" customHeight="false" outlineLevel="0" collapsed="false">
      <c r="A373" s="35" t="s">
        <v>437</v>
      </c>
      <c r="B373" s="36" t="n">
        <v>46247</v>
      </c>
      <c r="C373" s="36" t="n">
        <v>46250</v>
      </c>
      <c r="D373" s="35" t="s">
        <v>50</v>
      </c>
      <c r="E373" s="35" t="s">
        <v>36</v>
      </c>
      <c r="F373" s="35" t="s">
        <v>17</v>
      </c>
      <c r="G373" s="35" t="s">
        <v>51</v>
      </c>
      <c r="H373" s="37" t="n">
        <f aca="false">IFERROR(VLOOKUP(D373,Settings!$A$5:$C$14,3,FALSE()),"")</f>
        <v>3</v>
      </c>
      <c r="I373" s="37" t="n">
        <f aca="false">IF(C373="","",C373-B373)</f>
        <v>3</v>
      </c>
      <c r="J373" s="38" t="str">
        <f aca="false">IF(I373="","",IF(I373&gt;H373,"Delayed","On Time"))</f>
        <v>On Time</v>
      </c>
      <c r="K373" s="37" t="str">
        <f aca="false">IF(J373="Delayed",I373-H373,"")</f>
        <v/>
      </c>
    </row>
    <row r="374" customFormat="false" ht="15" hidden="false" customHeight="false" outlineLevel="0" collapsed="false">
      <c r="A374" s="35" t="s">
        <v>438</v>
      </c>
      <c r="B374" s="36" t="n">
        <v>46247</v>
      </c>
      <c r="C374" s="36" t="n">
        <v>46249</v>
      </c>
      <c r="D374" s="35" t="s">
        <v>44</v>
      </c>
      <c r="E374" s="35" t="s">
        <v>33</v>
      </c>
      <c r="F374" s="35" t="s">
        <v>15</v>
      </c>
      <c r="G374" s="35"/>
      <c r="H374" s="37" t="n">
        <f aca="false">IFERROR(VLOOKUP(D374,Settings!$A$5:$C$14,3,FALSE()),"")</f>
        <v>3</v>
      </c>
      <c r="I374" s="37" t="n">
        <f aca="false">IF(C374="","",C374-B374)</f>
        <v>2</v>
      </c>
      <c r="J374" s="38" t="str">
        <f aca="false">IF(I374="","",IF(I374&gt;H374,"Delayed","On Time"))</f>
        <v>On Time</v>
      </c>
      <c r="K374" s="37" t="str">
        <f aca="false">IF(J374="Delayed",I374-H374,"")</f>
        <v/>
      </c>
    </row>
    <row r="375" customFormat="false" ht="15" hidden="false" customHeight="false" outlineLevel="0" collapsed="false">
      <c r="A375" s="35" t="s">
        <v>439</v>
      </c>
      <c r="B375" s="36" t="n">
        <v>46247</v>
      </c>
      <c r="C375" s="36" t="n">
        <v>46249</v>
      </c>
      <c r="D375" s="35" t="s">
        <v>46</v>
      </c>
      <c r="E375" s="35" t="s">
        <v>36</v>
      </c>
      <c r="F375" s="35" t="s">
        <v>15</v>
      </c>
      <c r="G375" s="35"/>
      <c r="H375" s="37" t="n">
        <f aca="false">IFERROR(VLOOKUP(D375,Settings!$A$5:$C$14,3,FALSE()),"")</f>
        <v>3</v>
      </c>
      <c r="I375" s="37" t="n">
        <f aca="false">IF(C375="","",C375-B375)</f>
        <v>2</v>
      </c>
      <c r="J375" s="38" t="str">
        <f aca="false">IF(I375="","",IF(I375&gt;H375,"Delayed","On Time"))</f>
        <v>On Time</v>
      </c>
      <c r="K375" s="37" t="str">
        <f aca="false">IF(J375="Delayed",I375-H375,"")</f>
        <v/>
      </c>
    </row>
    <row r="376" customFormat="false" ht="15" hidden="false" customHeight="false" outlineLevel="0" collapsed="false">
      <c r="A376" s="35" t="s">
        <v>440</v>
      </c>
      <c r="B376" s="36" t="n">
        <v>46247</v>
      </c>
      <c r="C376" s="36" t="n">
        <v>46250</v>
      </c>
      <c r="D376" s="35" t="s">
        <v>50</v>
      </c>
      <c r="E376" s="35" t="s">
        <v>34</v>
      </c>
      <c r="F376" s="35" t="s">
        <v>15</v>
      </c>
      <c r="G376" s="35"/>
      <c r="H376" s="37" t="n">
        <f aca="false">IFERROR(VLOOKUP(D376,Settings!$A$5:$C$14,3,FALSE()),"")</f>
        <v>3</v>
      </c>
      <c r="I376" s="37" t="n">
        <f aca="false">IF(C376="","",C376-B376)</f>
        <v>3</v>
      </c>
      <c r="J376" s="38" t="str">
        <f aca="false">IF(I376="","",IF(I376&gt;H376,"Delayed","On Time"))</f>
        <v>On Time</v>
      </c>
      <c r="K376" s="37" t="str">
        <f aca="false">IF(J376="Delayed",I376-H376,"")</f>
        <v/>
      </c>
    </row>
    <row r="377" customFormat="false" ht="15" hidden="false" customHeight="false" outlineLevel="0" collapsed="false">
      <c r="A377" s="35" t="s">
        <v>441</v>
      </c>
      <c r="B377" s="36" t="n">
        <v>46247</v>
      </c>
      <c r="C377" s="36" t="n">
        <v>46249</v>
      </c>
      <c r="D377" s="35" t="s">
        <v>46</v>
      </c>
      <c r="E377" s="35" t="s">
        <v>34</v>
      </c>
      <c r="F377" s="35" t="s">
        <v>15</v>
      </c>
      <c r="G377" s="35"/>
      <c r="H377" s="37" t="n">
        <f aca="false">IFERROR(VLOOKUP(D377,Settings!$A$5:$C$14,3,FALSE()),"")</f>
        <v>3</v>
      </c>
      <c r="I377" s="37" t="n">
        <f aca="false">IF(C377="","",C377-B377)</f>
        <v>2</v>
      </c>
      <c r="J377" s="38" t="str">
        <f aca="false">IF(I377="","",IF(I377&gt;H377,"Delayed","On Time"))</f>
        <v>On Time</v>
      </c>
      <c r="K377" s="37" t="str">
        <f aca="false">IF(J377="Delayed",I377-H377,"")</f>
        <v/>
      </c>
    </row>
    <row r="378" customFormat="false" ht="15" hidden="false" customHeight="false" outlineLevel="0" collapsed="false">
      <c r="A378" s="35" t="s">
        <v>442</v>
      </c>
      <c r="B378" s="36" t="n">
        <v>46248</v>
      </c>
      <c r="C378" s="36" t="n">
        <v>46249</v>
      </c>
      <c r="D378" s="35" t="s">
        <v>48</v>
      </c>
      <c r="E378" s="35" t="s">
        <v>33</v>
      </c>
      <c r="F378" s="35" t="s">
        <v>15</v>
      </c>
      <c r="G378" s="35"/>
      <c r="H378" s="37" t="n">
        <f aca="false">IFERROR(VLOOKUP(D378,Settings!$A$5:$C$14,3,FALSE()),"")</f>
        <v>3</v>
      </c>
      <c r="I378" s="37" t="n">
        <f aca="false">IF(C378="","",C378-B378)</f>
        <v>1</v>
      </c>
      <c r="J378" s="38" t="str">
        <f aca="false">IF(I378="","",IF(I378&gt;H378,"Delayed","On Time"))</f>
        <v>On Time</v>
      </c>
      <c r="K378" s="37" t="str">
        <f aca="false">IF(J378="Delayed",I378-H378,"")</f>
        <v/>
      </c>
    </row>
    <row r="379" customFormat="false" ht="15" hidden="false" customHeight="false" outlineLevel="0" collapsed="false">
      <c r="A379" s="35" t="s">
        <v>443</v>
      </c>
      <c r="B379" s="36" t="n">
        <v>46248</v>
      </c>
      <c r="C379" s="36" t="n">
        <v>46255</v>
      </c>
      <c r="D379" s="35" t="s">
        <v>56</v>
      </c>
      <c r="E379" s="35" t="s">
        <v>33</v>
      </c>
      <c r="F379" s="35" t="s">
        <v>15</v>
      </c>
      <c r="G379" s="35"/>
      <c r="H379" s="37" t="n">
        <f aca="false">IFERROR(VLOOKUP(D379,Settings!$A$5:$C$14,3,FALSE()),"")</f>
        <v>6</v>
      </c>
      <c r="I379" s="37" t="n">
        <f aca="false">IF(C379="","",C379-B379)</f>
        <v>7</v>
      </c>
      <c r="J379" s="38" t="str">
        <f aca="false">IF(I379="","",IF(I379&gt;H379,"Delayed","On Time"))</f>
        <v>Delayed</v>
      </c>
      <c r="K379" s="37" t="n">
        <f aca="false">IF(J379="Delayed",I379-H379,"")</f>
        <v>1</v>
      </c>
    </row>
    <row r="380" customFormat="false" ht="15" hidden="false" customHeight="false" outlineLevel="0" collapsed="false">
      <c r="A380" s="35" t="s">
        <v>444</v>
      </c>
      <c r="B380" s="36" t="n">
        <v>46248</v>
      </c>
      <c r="C380" s="36" t="n">
        <v>46251</v>
      </c>
      <c r="D380" s="35" t="s">
        <v>48</v>
      </c>
      <c r="E380" s="35" t="s">
        <v>36</v>
      </c>
      <c r="F380" s="35" t="s">
        <v>15</v>
      </c>
      <c r="G380" s="35"/>
      <c r="H380" s="37" t="n">
        <f aca="false">IFERROR(VLOOKUP(D380,Settings!$A$5:$C$14,3,FALSE()),"")</f>
        <v>3</v>
      </c>
      <c r="I380" s="37" t="n">
        <f aca="false">IF(C380="","",C380-B380)</f>
        <v>3</v>
      </c>
      <c r="J380" s="38" t="str">
        <f aca="false">IF(I380="","",IF(I380&gt;H380,"Delayed","On Time"))</f>
        <v>On Time</v>
      </c>
      <c r="K380" s="37" t="str">
        <f aca="false">IF(J380="Delayed",I380-H380,"")</f>
        <v/>
      </c>
    </row>
    <row r="381" customFormat="false" ht="15" hidden="false" customHeight="false" outlineLevel="0" collapsed="false">
      <c r="A381" s="35" t="s">
        <v>445</v>
      </c>
      <c r="B381" s="36" t="n">
        <v>46248</v>
      </c>
      <c r="C381" s="36" t="n">
        <v>46253</v>
      </c>
      <c r="D381" s="35" t="s">
        <v>52</v>
      </c>
      <c r="E381" s="35" t="s">
        <v>33</v>
      </c>
      <c r="F381" s="35" t="s">
        <v>15</v>
      </c>
      <c r="G381" s="35"/>
      <c r="H381" s="37" t="n">
        <f aca="false">IFERROR(VLOOKUP(D381,Settings!$A$5:$C$14,3,FALSE()),"")</f>
        <v>4</v>
      </c>
      <c r="I381" s="37" t="n">
        <f aca="false">IF(C381="","",C381-B381)</f>
        <v>5</v>
      </c>
      <c r="J381" s="38" t="str">
        <f aca="false">IF(I381="","",IF(I381&gt;H381,"Delayed","On Time"))</f>
        <v>Delayed</v>
      </c>
      <c r="K381" s="37" t="n">
        <f aca="false">IF(J381="Delayed",I381-H381,"")</f>
        <v>1</v>
      </c>
    </row>
    <row r="382" customFormat="false" ht="15" hidden="false" customHeight="false" outlineLevel="0" collapsed="false">
      <c r="A382" s="35" t="s">
        <v>446</v>
      </c>
      <c r="B382" s="36" t="n">
        <v>46248</v>
      </c>
      <c r="C382" s="36" t="n">
        <v>46250</v>
      </c>
      <c r="D382" s="35" t="s">
        <v>44</v>
      </c>
      <c r="E382" s="35" t="s">
        <v>34</v>
      </c>
      <c r="F382" s="35" t="s">
        <v>17</v>
      </c>
      <c r="G382" s="35" t="s">
        <v>49</v>
      </c>
      <c r="H382" s="37" t="n">
        <f aca="false">IFERROR(VLOOKUP(D382,Settings!$A$5:$C$14,3,FALSE()),"")</f>
        <v>3</v>
      </c>
      <c r="I382" s="37" t="n">
        <f aca="false">IF(C382="","",C382-B382)</f>
        <v>2</v>
      </c>
      <c r="J382" s="38" t="str">
        <f aca="false">IF(I382="","",IF(I382&gt;H382,"Delayed","On Time"))</f>
        <v>On Time</v>
      </c>
      <c r="K382" s="37" t="str">
        <f aca="false">IF(J382="Delayed",I382-H382,"")</f>
        <v/>
      </c>
    </row>
    <row r="383" customFormat="false" ht="15" hidden="false" customHeight="false" outlineLevel="0" collapsed="false">
      <c r="A383" s="35" t="s">
        <v>447</v>
      </c>
      <c r="B383" s="36" t="n">
        <v>46248</v>
      </c>
      <c r="C383" s="36" t="n">
        <v>46252</v>
      </c>
      <c r="D383" s="35" t="s">
        <v>48</v>
      </c>
      <c r="E383" s="35" t="s">
        <v>36</v>
      </c>
      <c r="F383" s="35" t="s">
        <v>15</v>
      </c>
      <c r="G383" s="35"/>
      <c r="H383" s="37" t="n">
        <f aca="false">IFERROR(VLOOKUP(D383,Settings!$A$5:$C$14,3,FALSE()),"")</f>
        <v>3</v>
      </c>
      <c r="I383" s="37" t="n">
        <f aca="false">IF(C383="","",C383-B383)</f>
        <v>4</v>
      </c>
      <c r="J383" s="38" t="str">
        <f aca="false">IF(I383="","",IF(I383&gt;H383,"Delayed","On Time"))</f>
        <v>Delayed</v>
      </c>
      <c r="K383" s="37" t="n">
        <f aca="false">IF(J383="Delayed",I383-H383,"")</f>
        <v>1</v>
      </c>
    </row>
    <row r="384" customFormat="false" ht="15" hidden="false" customHeight="false" outlineLevel="0" collapsed="false">
      <c r="A384" s="35" t="s">
        <v>448</v>
      </c>
      <c r="B384" s="36" t="n">
        <v>46248</v>
      </c>
      <c r="C384" s="36" t="n">
        <v>46252</v>
      </c>
      <c r="D384" s="35" t="s">
        <v>50</v>
      </c>
      <c r="E384" s="35" t="s">
        <v>35</v>
      </c>
      <c r="F384" s="35" t="s">
        <v>15</v>
      </c>
      <c r="G384" s="35"/>
      <c r="H384" s="37" t="n">
        <f aca="false">IFERROR(VLOOKUP(D384,Settings!$A$5:$C$14,3,FALSE()),"")</f>
        <v>3</v>
      </c>
      <c r="I384" s="37" t="n">
        <f aca="false">IF(C384="","",C384-B384)</f>
        <v>4</v>
      </c>
      <c r="J384" s="38" t="str">
        <f aca="false">IF(I384="","",IF(I384&gt;H384,"Delayed","On Time"))</f>
        <v>Delayed</v>
      </c>
      <c r="K384" s="37" t="n">
        <f aca="false">IF(J384="Delayed",I384-H384,"")</f>
        <v>1</v>
      </c>
    </row>
    <row r="385" customFormat="false" ht="15" hidden="false" customHeight="false" outlineLevel="0" collapsed="false">
      <c r="A385" s="35" t="s">
        <v>449</v>
      </c>
      <c r="B385" s="36" t="n">
        <v>46248</v>
      </c>
      <c r="C385" s="36" t="n">
        <v>46252</v>
      </c>
      <c r="D385" s="35" t="s">
        <v>44</v>
      </c>
      <c r="E385" s="35" t="s">
        <v>35</v>
      </c>
      <c r="F385" s="35" t="s">
        <v>17</v>
      </c>
      <c r="G385" s="35" t="s">
        <v>51</v>
      </c>
      <c r="H385" s="37" t="n">
        <f aca="false">IFERROR(VLOOKUP(D385,Settings!$A$5:$C$14,3,FALSE()),"")</f>
        <v>3</v>
      </c>
      <c r="I385" s="37" t="n">
        <f aca="false">IF(C385="","",C385-B385)</f>
        <v>4</v>
      </c>
      <c r="J385" s="38" t="str">
        <f aca="false">IF(I385="","",IF(I385&gt;H385,"Delayed","On Time"))</f>
        <v>Delayed</v>
      </c>
      <c r="K385" s="37" t="n">
        <f aca="false">IF(J385="Delayed",I385-H385,"")</f>
        <v>1</v>
      </c>
    </row>
    <row r="386" customFormat="false" ht="15" hidden="false" customHeight="false" outlineLevel="0" collapsed="false">
      <c r="A386" s="35" t="s">
        <v>450</v>
      </c>
      <c r="B386" s="36" t="n">
        <v>46248</v>
      </c>
      <c r="C386" s="36" t="n">
        <v>46255</v>
      </c>
      <c r="D386" s="35" t="s">
        <v>54</v>
      </c>
      <c r="E386" s="35" t="s">
        <v>34</v>
      </c>
      <c r="F386" s="35" t="s">
        <v>17</v>
      </c>
      <c r="G386" s="35" t="s">
        <v>43</v>
      </c>
      <c r="H386" s="37" t="n">
        <f aca="false">IFERROR(VLOOKUP(D386,Settings!$A$5:$C$14,3,FALSE()),"")</f>
        <v>5</v>
      </c>
      <c r="I386" s="37" t="n">
        <f aca="false">IF(C386="","",C386-B386)</f>
        <v>7</v>
      </c>
      <c r="J386" s="38" t="str">
        <f aca="false">IF(I386="","",IF(I386&gt;H386,"Delayed","On Time"))</f>
        <v>Delayed</v>
      </c>
      <c r="K386" s="37" t="n">
        <f aca="false">IF(J386="Delayed",I386-H386,"")</f>
        <v>2</v>
      </c>
    </row>
    <row r="387" customFormat="false" ht="15" hidden="false" customHeight="false" outlineLevel="0" collapsed="false">
      <c r="A387" s="35" t="s">
        <v>451</v>
      </c>
      <c r="B387" s="36" t="n">
        <v>46248</v>
      </c>
      <c r="C387" s="36" t="n">
        <v>46252</v>
      </c>
      <c r="D387" s="35" t="s">
        <v>52</v>
      </c>
      <c r="E387" s="35" t="s">
        <v>35</v>
      </c>
      <c r="F387" s="35" t="s">
        <v>15</v>
      </c>
      <c r="G387" s="35"/>
      <c r="H387" s="37" t="n">
        <f aca="false">IFERROR(VLOOKUP(D387,Settings!$A$5:$C$14,3,FALSE()),"")</f>
        <v>4</v>
      </c>
      <c r="I387" s="37" t="n">
        <f aca="false">IF(C387="","",C387-B387)</f>
        <v>4</v>
      </c>
      <c r="J387" s="38" t="str">
        <f aca="false">IF(I387="","",IF(I387&gt;H387,"Delayed","On Time"))</f>
        <v>On Time</v>
      </c>
      <c r="K387" s="37" t="str">
        <f aca="false">IF(J387="Delayed",I387-H387,"")</f>
        <v/>
      </c>
    </row>
    <row r="388" customFormat="false" ht="15" hidden="false" customHeight="false" outlineLevel="0" collapsed="false">
      <c r="A388" s="35" t="s">
        <v>452</v>
      </c>
      <c r="B388" s="36" t="n">
        <v>46249</v>
      </c>
      <c r="C388" s="36"/>
      <c r="D388" s="35" t="s">
        <v>46</v>
      </c>
      <c r="E388" s="35" t="s">
        <v>33</v>
      </c>
      <c r="F388" s="35" t="s">
        <v>18</v>
      </c>
      <c r="G388" s="35" t="s">
        <v>47</v>
      </c>
      <c r="H388" s="37" t="n">
        <f aca="false">IFERROR(VLOOKUP(D388,Settings!$A$5:$C$14,3,FALSE()),"")</f>
        <v>3</v>
      </c>
      <c r="I388" s="37" t="str">
        <f aca="false">IF(C388="","",C388-B388)</f>
        <v/>
      </c>
      <c r="J388" s="38" t="str">
        <f aca="false">IF(I388="","",IF(I388&gt;H388,"Delayed","On Time"))</f>
        <v/>
      </c>
      <c r="K388" s="37" t="str">
        <f aca="false">IF(J388="Delayed",I388-H388,"")</f>
        <v/>
      </c>
    </row>
    <row r="389" customFormat="false" ht="15" hidden="false" customHeight="false" outlineLevel="0" collapsed="false">
      <c r="A389" s="35" t="s">
        <v>453</v>
      </c>
      <c r="B389" s="36" t="n">
        <v>46249</v>
      </c>
      <c r="C389" s="36" t="n">
        <v>46252</v>
      </c>
      <c r="D389" s="35" t="s">
        <v>48</v>
      </c>
      <c r="E389" s="35" t="s">
        <v>36</v>
      </c>
      <c r="F389" s="35" t="s">
        <v>15</v>
      </c>
      <c r="G389" s="35"/>
      <c r="H389" s="37" t="n">
        <f aca="false">IFERROR(VLOOKUP(D389,Settings!$A$5:$C$14,3,FALSE()),"")</f>
        <v>3</v>
      </c>
      <c r="I389" s="37" t="n">
        <f aca="false">IF(C389="","",C389-B389)</f>
        <v>3</v>
      </c>
      <c r="J389" s="38" t="str">
        <f aca="false">IF(I389="","",IF(I389&gt;H389,"Delayed","On Time"))</f>
        <v>On Time</v>
      </c>
      <c r="K389" s="37" t="str">
        <f aca="false">IF(J389="Delayed",I389-H389,"")</f>
        <v/>
      </c>
    </row>
    <row r="390" customFormat="false" ht="15" hidden="false" customHeight="false" outlineLevel="0" collapsed="false">
      <c r="A390" s="35" t="s">
        <v>454</v>
      </c>
      <c r="B390" s="36" t="n">
        <v>46249</v>
      </c>
      <c r="C390" s="36" t="n">
        <v>46250</v>
      </c>
      <c r="D390" s="35" t="s">
        <v>44</v>
      </c>
      <c r="E390" s="35" t="s">
        <v>36</v>
      </c>
      <c r="F390" s="35" t="s">
        <v>15</v>
      </c>
      <c r="G390" s="35"/>
      <c r="H390" s="37" t="n">
        <f aca="false">IFERROR(VLOOKUP(D390,Settings!$A$5:$C$14,3,FALSE()),"")</f>
        <v>3</v>
      </c>
      <c r="I390" s="37" t="n">
        <f aca="false">IF(C390="","",C390-B390)</f>
        <v>1</v>
      </c>
      <c r="J390" s="38" t="str">
        <f aca="false">IF(I390="","",IF(I390&gt;H390,"Delayed","On Time"))</f>
        <v>On Time</v>
      </c>
      <c r="K390" s="37" t="str">
        <f aca="false">IF(J390="Delayed",I390-H390,"")</f>
        <v/>
      </c>
    </row>
    <row r="391" customFormat="false" ht="15" hidden="false" customHeight="false" outlineLevel="0" collapsed="false">
      <c r="A391" s="35" t="s">
        <v>455</v>
      </c>
      <c r="B391" s="36" t="n">
        <v>46249</v>
      </c>
      <c r="C391" s="36" t="n">
        <v>46255</v>
      </c>
      <c r="D391" s="35" t="s">
        <v>50</v>
      </c>
      <c r="E391" s="35" t="s">
        <v>35</v>
      </c>
      <c r="F391" s="35" t="s">
        <v>15</v>
      </c>
      <c r="G391" s="35"/>
      <c r="H391" s="37" t="n">
        <f aca="false">IFERROR(VLOOKUP(D391,Settings!$A$5:$C$14,3,FALSE()),"")</f>
        <v>3</v>
      </c>
      <c r="I391" s="37" t="n">
        <f aca="false">IF(C391="","",C391-B391)</f>
        <v>6</v>
      </c>
      <c r="J391" s="38" t="str">
        <f aca="false">IF(I391="","",IF(I391&gt;H391,"Delayed","On Time"))</f>
        <v>Delayed</v>
      </c>
      <c r="K391" s="37" t="n">
        <f aca="false">IF(J391="Delayed",I391-H391,"")</f>
        <v>3</v>
      </c>
    </row>
    <row r="392" customFormat="false" ht="15" hidden="false" customHeight="false" outlineLevel="0" collapsed="false">
      <c r="A392" s="35" t="s">
        <v>456</v>
      </c>
      <c r="B392" s="36" t="n">
        <v>46249</v>
      </c>
      <c r="C392" s="36" t="n">
        <v>46251</v>
      </c>
      <c r="D392" s="35" t="s">
        <v>50</v>
      </c>
      <c r="E392" s="35" t="s">
        <v>35</v>
      </c>
      <c r="F392" s="35" t="s">
        <v>17</v>
      </c>
      <c r="G392" s="35" t="s">
        <v>43</v>
      </c>
      <c r="H392" s="37" t="n">
        <f aca="false">IFERROR(VLOOKUP(D392,Settings!$A$5:$C$14,3,FALSE()),"")</f>
        <v>3</v>
      </c>
      <c r="I392" s="37" t="n">
        <f aca="false">IF(C392="","",C392-B392)</f>
        <v>2</v>
      </c>
      <c r="J392" s="38" t="str">
        <f aca="false">IF(I392="","",IF(I392&gt;H392,"Delayed","On Time"))</f>
        <v>On Time</v>
      </c>
      <c r="K392" s="37" t="str">
        <f aca="false">IF(J392="Delayed",I392-H392,"")</f>
        <v/>
      </c>
    </row>
    <row r="393" customFormat="false" ht="15" hidden="false" customHeight="false" outlineLevel="0" collapsed="false">
      <c r="A393" s="35" t="s">
        <v>457</v>
      </c>
      <c r="B393" s="36" t="n">
        <v>46249</v>
      </c>
      <c r="C393" s="36"/>
      <c r="D393" s="35" t="s">
        <v>54</v>
      </c>
      <c r="E393" s="35" t="s">
        <v>35</v>
      </c>
      <c r="F393" s="35" t="s">
        <v>18</v>
      </c>
      <c r="G393" s="35" t="s">
        <v>47</v>
      </c>
      <c r="H393" s="37" t="n">
        <f aca="false">IFERROR(VLOOKUP(D393,Settings!$A$5:$C$14,3,FALSE()),"")</f>
        <v>5</v>
      </c>
      <c r="I393" s="37" t="str">
        <f aca="false">IF(C393="","",C393-B393)</f>
        <v/>
      </c>
      <c r="J393" s="38" t="str">
        <f aca="false">IF(I393="","",IF(I393&gt;H393,"Delayed","On Time"))</f>
        <v/>
      </c>
      <c r="K393" s="37" t="str">
        <f aca="false">IF(J393="Delayed",I393-H393,"")</f>
        <v/>
      </c>
    </row>
    <row r="394" customFormat="false" ht="15" hidden="false" customHeight="false" outlineLevel="0" collapsed="false">
      <c r="A394" s="35" t="s">
        <v>458</v>
      </c>
      <c r="B394" s="36" t="n">
        <v>46249</v>
      </c>
      <c r="C394" s="36"/>
      <c r="D394" s="35" t="s">
        <v>44</v>
      </c>
      <c r="E394" s="35" t="s">
        <v>36</v>
      </c>
      <c r="F394" s="35" t="s">
        <v>18</v>
      </c>
      <c r="G394" s="35" t="s">
        <v>47</v>
      </c>
      <c r="H394" s="37" t="n">
        <f aca="false">IFERROR(VLOOKUP(D394,Settings!$A$5:$C$14,3,FALSE()),"")</f>
        <v>3</v>
      </c>
      <c r="I394" s="37" t="str">
        <f aca="false">IF(C394="","",C394-B394)</f>
        <v/>
      </c>
      <c r="J394" s="38" t="str">
        <f aca="false">IF(I394="","",IF(I394&gt;H394,"Delayed","On Time"))</f>
        <v/>
      </c>
      <c r="K394" s="37" t="str">
        <f aca="false">IF(J394="Delayed",I394-H394,"")</f>
        <v/>
      </c>
    </row>
    <row r="395" customFormat="false" ht="15" hidden="false" customHeight="false" outlineLevel="0" collapsed="false">
      <c r="A395" s="35" t="s">
        <v>459</v>
      </c>
      <c r="B395" s="36" t="n">
        <v>46249</v>
      </c>
      <c r="C395" s="36" t="n">
        <v>46254</v>
      </c>
      <c r="D395" s="35" t="s">
        <v>46</v>
      </c>
      <c r="E395" s="35" t="s">
        <v>35</v>
      </c>
      <c r="F395" s="35" t="s">
        <v>15</v>
      </c>
      <c r="G395" s="35"/>
      <c r="H395" s="37" t="n">
        <f aca="false">IFERROR(VLOOKUP(D395,Settings!$A$5:$C$14,3,FALSE()),"")</f>
        <v>3</v>
      </c>
      <c r="I395" s="37" t="n">
        <f aca="false">IF(C395="","",C395-B395)</f>
        <v>5</v>
      </c>
      <c r="J395" s="38" t="str">
        <f aca="false">IF(I395="","",IF(I395&gt;H395,"Delayed","On Time"))</f>
        <v>Delayed</v>
      </c>
      <c r="K395" s="37" t="n">
        <f aca="false">IF(J395="Delayed",I395-H395,"")</f>
        <v>2</v>
      </c>
    </row>
    <row r="396" customFormat="false" ht="15" hidden="false" customHeight="false" outlineLevel="0" collapsed="false">
      <c r="A396" s="35" t="s">
        <v>460</v>
      </c>
      <c r="B396" s="36" t="n">
        <v>46249</v>
      </c>
      <c r="C396" s="36" t="n">
        <v>46253</v>
      </c>
      <c r="D396" s="35" t="s">
        <v>44</v>
      </c>
      <c r="E396" s="35" t="s">
        <v>34</v>
      </c>
      <c r="F396" s="35" t="s">
        <v>15</v>
      </c>
      <c r="G396" s="35"/>
      <c r="H396" s="37" t="n">
        <f aca="false">IFERROR(VLOOKUP(D396,Settings!$A$5:$C$14,3,FALSE()),"")</f>
        <v>3</v>
      </c>
      <c r="I396" s="37" t="n">
        <f aca="false">IF(C396="","",C396-B396)</f>
        <v>4</v>
      </c>
      <c r="J396" s="38" t="str">
        <f aca="false">IF(I396="","",IF(I396&gt;H396,"Delayed","On Time"))</f>
        <v>Delayed</v>
      </c>
      <c r="K396" s="37" t="n">
        <f aca="false">IF(J396="Delayed",I396-H396,"")</f>
        <v>1</v>
      </c>
    </row>
    <row r="397" customFormat="false" ht="15" hidden="false" customHeight="false" outlineLevel="0" collapsed="false">
      <c r="A397" s="35" t="s">
        <v>461</v>
      </c>
      <c r="B397" s="36" t="n">
        <v>46249</v>
      </c>
      <c r="C397" s="36" t="n">
        <v>46253</v>
      </c>
      <c r="D397" s="35" t="s">
        <v>46</v>
      </c>
      <c r="E397" s="35" t="s">
        <v>33</v>
      </c>
      <c r="F397" s="35" t="s">
        <v>15</v>
      </c>
      <c r="G397" s="35"/>
      <c r="H397" s="37" t="n">
        <f aca="false">IFERROR(VLOOKUP(D397,Settings!$A$5:$C$14,3,FALSE()),"")</f>
        <v>3</v>
      </c>
      <c r="I397" s="37" t="n">
        <f aca="false">IF(C397="","",C397-B397)</f>
        <v>4</v>
      </c>
      <c r="J397" s="38" t="str">
        <f aca="false">IF(I397="","",IF(I397&gt;H397,"Delayed","On Time"))</f>
        <v>Delayed</v>
      </c>
      <c r="K397" s="37" t="n">
        <f aca="false">IF(J397="Delayed",I397-H397,"")</f>
        <v>1</v>
      </c>
    </row>
    <row r="398" customFormat="false" ht="15" hidden="false" customHeight="false" outlineLevel="0" collapsed="false">
      <c r="A398" s="35" t="s">
        <v>462</v>
      </c>
      <c r="B398" s="36" t="n">
        <v>46249</v>
      </c>
      <c r="C398" s="36" t="n">
        <v>46252</v>
      </c>
      <c r="D398" s="35" t="s">
        <v>46</v>
      </c>
      <c r="E398" s="35" t="s">
        <v>34</v>
      </c>
      <c r="F398" s="35" t="s">
        <v>15</v>
      </c>
      <c r="G398" s="35"/>
      <c r="H398" s="37" t="n">
        <f aca="false">IFERROR(VLOOKUP(D398,Settings!$A$5:$C$14,3,FALSE()),"")</f>
        <v>3</v>
      </c>
      <c r="I398" s="37" t="n">
        <f aca="false">IF(C398="","",C398-B398)</f>
        <v>3</v>
      </c>
      <c r="J398" s="38" t="str">
        <f aca="false">IF(I398="","",IF(I398&gt;H398,"Delayed","On Time"))</f>
        <v>On Time</v>
      </c>
      <c r="K398" s="37" t="str">
        <f aca="false">IF(J398="Delayed",I398-H398,"")</f>
        <v/>
      </c>
    </row>
    <row r="399" customFormat="false" ht="15" hidden="false" customHeight="false" outlineLevel="0" collapsed="false">
      <c r="A399" s="35" t="s">
        <v>463</v>
      </c>
      <c r="B399" s="36" t="n">
        <v>46249</v>
      </c>
      <c r="C399" s="36" t="n">
        <v>46254</v>
      </c>
      <c r="D399" s="35" t="s">
        <v>46</v>
      </c>
      <c r="E399" s="35" t="s">
        <v>35</v>
      </c>
      <c r="F399" s="35" t="s">
        <v>15</v>
      </c>
      <c r="G399" s="35"/>
      <c r="H399" s="37" t="n">
        <f aca="false">IFERROR(VLOOKUP(D399,Settings!$A$5:$C$14,3,FALSE()),"")</f>
        <v>3</v>
      </c>
      <c r="I399" s="37" t="n">
        <f aca="false">IF(C399="","",C399-B399)</f>
        <v>5</v>
      </c>
      <c r="J399" s="38" t="str">
        <f aca="false">IF(I399="","",IF(I399&gt;H399,"Delayed","On Time"))</f>
        <v>Delayed</v>
      </c>
      <c r="K399" s="37" t="n">
        <f aca="false">IF(J399="Delayed",I399-H399,"")</f>
        <v>2</v>
      </c>
    </row>
    <row r="400" customFormat="false" ht="15" hidden="false" customHeight="false" outlineLevel="0" collapsed="false">
      <c r="A400" s="35" t="s">
        <v>464</v>
      </c>
      <c r="B400" s="36" t="n">
        <v>46250</v>
      </c>
      <c r="C400" s="36" t="n">
        <v>46254</v>
      </c>
      <c r="D400" s="35" t="s">
        <v>44</v>
      </c>
      <c r="E400" s="35" t="s">
        <v>35</v>
      </c>
      <c r="F400" s="35" t="s">
        <v>15</v>
      </c>
      <c r="G400" s="35"/>
      <c r="H400" s="37" t="n">
        <f aca="false">IFERROR(VLOOKUP(D400,Settings!$A$5:$C$14,3,FALSE()),"")</f>
        <v>3</v>
      </c>
      <c r="I400" s="37" t="n">
        <f aca="false">IF(C400="","",C400-B400)</f>
        <v>4</v>
      </c>
      <c r="J400" s="38" t="str">
        <f aca="false">IF(I400="","",IF(I400&gt;H400,"Delayed","On Time"))</f>
        <v>Delayed</v>
      </c>
      <c r="K400" s="37" t="n">
        <f aca="false">IF(J400="Delayed",I400-H400,"")</f>
        <v>1</v>
      </c>
    </row>
    <row r="401" customFormat="false" ht="15" hidden="false" customHeight="false" outlineLevel="0" collapsed="false">
      <c r="A401" s="35" t="s">
        <v>465</v>
      </c>
      <c r="B401" s="36" t="n">
        <v>46250</v>
      </c>
      <c r="C401" s="36" t="n">
        <v>46254</v>
      </c>
      <c r="D401" s="35" t="s">
        <v>48</v>
      </c>
      <c r="E401" s="35" t="s">
        <v>35</v>
      </c>
      <c r="F401" s="35" t="s">
        <v>15</v>
      </c>
      <c r="G401" s="35"/>
      <c r="H401" s="37" t="n">
        <f aca="false">IFERROR(VLOOKUP(D401,Settings!$A$5:$C$14,3,FALSE()),"")</f>
        <v>3</v>
      </c>
      <c r="I401" s="37" t="n">
        <f aca="false">IF(C401="","",C401-B401)</f>
        <v>4</v>
      </c>
      <c r="J401" s="38" t="str">
        <f aca="false">IF(I401="","",IF(I401&gt;H401,"Delayed","On Time"))</f>
        <v>Delayed</v>
      </c>
      <c r="K401" s="37" t="n">
        <f aca="false">IF(J401="Delayed",I401-H401,"")</f>
        <v>1</v>
      </c>
    </row>
    <row r="402" customFormat="false" ht="15" hidden="false" customHeight="false" outlineLevel="0" collapsed="false">
      <c r="A402" s="35" t="s">
        <v>466</v>
      </c>
      <c r="B402" s="36" t="n">
        <v>46250</v>
      </c>
      <c r="C402" s="36" t="n">
        <v>46253</v>
      </c>
      <c r="D402" s="35" t="s">
        <v>48</v>
      </c>
      <c r="E402" s="35" t="s">
        <v>36</v>
      </c>
      <c r="F402" s="35" t="s">
        <v>15</v>
      </c>
      <c r="G402" s="35"/>
      <c r="H402" s="37" t="n">
        <f aca="false">IFERROR(VLOOKUP(D402,Settings!$A$5:$C$14,3,FALSE()),"")</f>
        <v>3</v>
      </c>
      <c r="I402" s="37" t="n">
        <f aca="false">IF(C402="","",C402-B402)</f>
        <v>3</v>
      </c>
      <c r="J402" s="38" t="str">
        <f aca="false">IF(I402="","",IF(I402&gt;H402,"Delayed","On Time"))</f>
        <v>On Time</v>
      </c>
      <c r="K402" s="37" t="str">
        <f aca="false">IF(J402="Delayed",I402-H402,"")</f>
        <v/>
      </c>
    </row>
    <row r="403" customFormat="false" ht="15" hidden="false" customHeight="false" outlineLevel="0" collapsed="false">
      <c r="A403" s="35" t="s">
        <v>467</v>
      </c>
      <c r="B403" s="36" t="n">
        <v>46250</v>
      </c>
      <c r="C403" s="36" t="n">
        <v>46257</v>
      </c>
      <c r="D403" s="35" t="s">
        <v>53</v>
      </c>
      <c r="E403" s="35" t="s">
        <v>35</v>
      </c>
      <c r="F403" s="35" t="s">
        <v>15</v>
      </c>
      <c r="G403" s="35"/>
      <c r="H403" s="37" t="n">
        <f aca="false">IFERROR(VLOOKUP(D403,Settings!$A$5:$C$14,3,FALSE()),"")</f>
        <v>5</v>
      </c>
      <c r="I403" s="37" t="n">
        <f aca="false">IF(C403="","",C403-B403)</f>
        <v>7</v>
      </c>
      <c r="J403" s="38" t="str">
        <f aca="false">IF(I403="","",IF(I403&gt;H403,"Delayed","On Time"))</f>
        <v>Delayed</v>
      </c>
      <c r="K403" s="37" t="n">
        <f aca="false">IF(J403="Delayed",I403-H403,"")</f>
        <v>2</v>
      </c>
    </row>
    <row r="404" customFormat="false" ht="15" hidden="false" customHeight="false" outlineLevel="0" collapsed="false">
      <c r="A404" s="35" t="s">
        <v>468</v>
      </c>
      <c r="B404" s="36" t="n">
        <v>46250</v>
      </c>
      <c r="C404" s="36" t="n">
        <v>46254</v>
      </c>
      <c r="D404" s="35" t="s">
        <v>50</v>
      </c>
      <c r="E404" s="35" t="s">
        <v>35</v>
      </c>
      <c r="F404" s="35" t="s">
        <v>15</v>
      </c>
      <c r="G404" s="35"/>
      <c r="H404" s="37" t="n">
        <f aca="false">IFERROR(VLOOKUP(D404,Settings!$A$5:$C$14,3,FALSE()),"")</f>
        <v>3</v>
      </c>
      <c r="I404" s="37" t="n">
        <f aca="false">IF(C404="","",C404-B404)</f>
        <v>4</v>
      </c>
      <c r="J404" s="38" t="str">
        <f aca="false">IF(I404="","",IF(I404&gt;H404,"Delayed","On Time"))</f>
        <v>Delayed</v>
      </c>
      <c r="K404" s="37" t="n">
        <f aca="false">IF(J404="Delayed",I404-H404,"")</f>
        <v>1</v>
      </c>
    </row>
    <row r="405" customFormat="false" ht="15" hidden="false" customHeight="false" outlineLevel="0" collapsed="false">
      <c r="A405" s="35" t="s">
        <v>469</v>
      </c>
      <c r="B405" s="36" t="n">
        <v>46250</v>
      </c>
      <c r="C405" s="36" t="n">
        <v>46254</v>
      </c>
      <c r="D405" s="35" t="s">
        <v>52</v>
      </c>
      <c r="E405" s="35" t="s">
        <v>35</v>
      </c>
      <c r="F405" s="35" t="s">
        <v>15</v>
      </c>
      <c r="G405" s="35"/>
      <c r="H405" s="37" t="n">
        <f aca="false">IFERROR(VLOOKUP(D405,Settings!$A$5:$C$14,3,FALSE()),"")</f>
        <v>4</v>
      </c>
      <c r="I405" s="37" t="n">
        <f aca="false">IF(C405="","",C405-B405)</f>
        <v>4</v>
      </c>
      <c r="J405" s="38" t="str">
        <f aca="false">IF(I405="","",IF(I405&gt;H405,"Delayed","On Time"))</f>
        <v>On Time</v>
      </c>
      <c r="K405" s="37" t="str">
        <f aca="false">IF(J405="Delayed",I405-H405,"")</f>
        <v/>
      </c>
    </row>
    <row r="406" customFormat="false" ht="15" hidden="false" customHeight="false" outlineLevel="0" collapsed="false">
      <c r="A406" s="35" t="s">
        <v>470</v>
      </c>
      <c r="B406" s="36" t="n">
        <v>46250</v>
      </c>
      <c r="C406" s="36" t="n">
        <v>46253</v>
      </c>
      <c r="D406" s="35" t="s">
        <v>48</v>
      </c>
      <c r="E406" s="35" t="s">
        <v>34</v>
      </c>
      <c r="F406" s="35" t="s">
        <v>15</v>
      </c>
      <c r="G406" s="35"/>
      <c r="H406" s="37" t="n">
        <f aca="false">IFERROR(VLOOKUP(D406,Settings!$A$5:$C$14,3,FALSE()),"")</f>
        <v>3</v>
      </c>
      <c r="I406" s="37" t="n">
        <f aca="false">IF(C406="","",C406-B406)</f>
        <v>3</v>
      </c>
      <c r="J406" s="38" t="str">
        <f aca="false">IF(I406="","",IF(I406&gt;H406,"Delayed","On Time"))</f>
        <v>On Time</v>
      </c>
      <c r="K406" s="37" t="str">
        <f aca="false">IF(J406="Delayed",I406-H406,"")</f>
        <v/>
      </c>
    </row>
    <row r="407" customFormat="false" ht="15" hidden="false" customHeight="false" outlineLevel="0" collapsed="false">
      <c r="A407" s="35" t="s">
        <v>471</v>
      </c>
      <c r="B407" s="36" t="n">
        <v>46250</v>
      </c>
      <c r="C407" s="36" t="n">
        <v>46254</v>
      </c>
      <c r="D407" s="35" t="s">
        <v>44</v>
      </c>
      <c r="E407" s="35" t="s">
        <v>36</v>
      </c>
      <c r="F407" s="35" t="s">
        <v>17</v>
      </c>
      <c r="G407" s="35" t="s">
        <v>51</v>
      </c>
      <c r="H407" s="37" t="n">
        <f aca="false">IFERROR(VLOOKUP(D407,Settings!$A$5:$C$14,3,FALSE()),"")</f>
        <v>3</v>
      </c>
      <c r="I407" s="37" t="n">
        <f aca="false">IF(C407="","",C407-B407)</f>
        <v>4</v>
      </c>
      <c r="J407" s="38" t="str">
        <f aca="false">IF(I407="","",IF(I407&gt;H407,"Delayed","On Time"))</f>
        <v>Delayed</v>
      </c>
      <c r="K407" s="37" t="n">
        <f aca="false">IF(J407="Delayed",I407-H407,"")</f>
        <v>1</v>
      </c>
    </row>
    <row r="408" customFormat="false" ht="15" hidden="false" customHeight="false" outlineLevel="0" collapsed="false">
      <c r="A408" s="35" t="s">
        <v>472</v>
      </c>
      <c r="B408" s="36" t="n">
        <v>46250</v>
      </c>
      <c r="C408" s="36" t="n">
        <v>46254</v>
      </c>
      <c r="D408" s="35" t="s">
        <v>46</v>
      </c>
      <c r="E408" s="35" t="s">
        <v>34</v>
      </c>
      <c r="F408" s="35" t="s">
        <v>15</v>
      </c>
      <c r="G408" s="35"/>
      <c r="H408" s="37" t="n">
        <f aca="false">IFERROR(VLOOKUP(D408,Settings!$A$5:$C$14,3,FALSE()),"")</f>
        <v>3</v>
      </c>
      <c r="I408" s="37" t="n">
        <f aca="false">IF(C408="","",C408-B408)</f>
        <v>4</v>
      </c>
      <c r="J408" s="38" t="str">
        <f aca="false">IF(I408="","",IF(I408&gt;H408,"Delayed","On Time"))</f>
        <v>Delayed</v>
      </c>
      <c r="K408" s="37" t="n">
        <f aca="false">IF(J408="Delayed",I408-H408,"")</f>
        <v>1</v>
      </c>
    </row>
    <row r="409" customFormat="false" ht="15" hidden="false" customHeight="false" outlineLevel="0" collapsed="false">
      <c r="A409" s="35" t="s">
        <v>473</v>
      </c>
      <c r="B409" s="36" t="n">
        <v>46250</v>
      </c>
      <c r="C409" s="36" t="n">
        <v>46255</v>
      </c>
      <c r="D409" s="35" t="s">
        <v>56</v>
      </c>
      <c r="E409" s="35" t="s">
        <v>34</v>
      </c>
      <c r="F409" s="35" t="s">
        <v>17</v>
      </c>
      <c r="G409" s="35" t="s">
        <v>49</v>
      </c>
      <c r="H409" s="37" t="n">
        <f aca="false">IFERROR(VLOOKUP(D409,Settings!$A$5:$C$14,3,FALSE()),"")</f>
        <v>6</v>
      </c>
      <c r="I409" s="37" t="n">
        <f aca="false">IF(C409="","",C409-B409)</f>
        <v>5</v>
      </c>
      <c r="J409" s="38" t="str">
        <f aca="false">IF(I409="","",IF(I409&gt;H409,"Delayed","On Time"))</f>
        <v>On Time</v>
      </c>
      <c r="K409" s="37" t="str">
        <f aca="false">IF(J409="Delayed",I409-H409,"")</f>
        <v/>
      </c>
    </row>
    <row r="410" customFormat="false" ht="15" hidden="false" customHeight="false" outlineLevel="0" collapsed="false">
      <c r="A410" s="35" t="s">
        <v>474</v>
      </c>
      <c r="B410" s="36" t="n">
        <v>46250</v>
      </c>
      <c r="C410" s="36" t="n">
        <v>46252</v>
      </c>
      <c r="D410" s="35" t="s">
        <v>50</v>
      </c>
      <c r="E410" s="35" t="s">
        <v>36</v>
      </c>
      <c r="F410" s="35" t="s">
        <v>15</v>
      </c>
      <c r="G410" s="35"/>
      <c r="H410" s="37" t="n">
        <f aca="false">IFERROR(VLOOKUP(D410,Settings!$A$5:$C$14,3,FALSE()),"")</f>
        <v>3</v>
      </c>
      <c r="I410" s="37" t="n">
        <f aca="false">IF(C410="","",C410-B410)</f>
        <v>2</v>
      </c>
      <c r="J410" s="38" t="str">
        <f aca="false">IF(I410="","",IF(I410&gt;H410,"Delayed","On Time"))</f>
        <v>On Time</v>
      </c>
      <c r="K410" s="37" t="str">
        <f aca="false">IF(J410="Delayed",I410-H410,"")</f>
        <v/>
      </c>
    </row>
    <row r="411" customFormat="false" ht="15" hidden="false" customHeight="false" outlineLevel="0" collapsed="false">
      <c r="A411" s="35" t="s">
        <v>475</v>
      </c>
      <c r="B411" s="36" t="n">
        <v>46250</v>
      </c>
      <c r="C411" s="36" t="n">
        <v>46254</v>
      </c>
      <c r="D411" s="35" t="s">
        <v>46</v>
      </c>
      <c r="E411" s="35" t="s">
        <v>36</v>
      </c>
      <c r="F411" s="35" t="s">
        <v>15</v>
      </c>
      <c r="G411" s="35"/>
      <c r="H411" s="37" t="n">
        <f aca="false">IFERROR(VLOOKUP(D411,Settings!$A$5:$C$14,3,FALSE()),"")</f>
        <v>3</v>
      </c>
      <c r="I411" s="37" t="n">
        <f aca="false">IF(C411="","",C411-B411)</f>
        <v>4</v>
      </c>
      <c r="J411" s="38" t="str">
        <f aca="false">IF(I411="","",IF(I411&gt;H411,"Delayed","On Time"))</f>
        <v>Delayed</v>
      </c>
      <c r="K411" s="37" t="n">
        <f aca="false">IF(J411="Delayed",I411-H411,"")</f>
        <v>1</v>
      </c>
    </row>
    <row r="412" customFormat="false" ht="15" hidden="false" customHeight="false" outlineLevel="0" collapsed="false">
      <c r="A412" s="35" t="s">
        <v>476</v>
      </c>
      <c r="B412" s="36" t="n">
        <v>46250</v>
      </c>
      <c r="C412" s="36" t="n">
        <v>46254</v>
      </c>
      <c r="D412" s="35" t="s">
        <v>44</v>
      </c>
      <c r="E412" s="35" t="s">
        <v>34</v>
      </c>
      <c r="F412" s="35" t="s">
        <v>17</v>
      </c>
      <c r="G412" s="35" t="s">
        <v>51</v>
      </c>
      <c r="H412" s="37" t="n">
        <f aca="false">IFERROR(VLOOKUP(D412,Settings!$A$5:$C$14,3,FALSE()),"")</f>
        <v>3</v>
      </c>
      <c r="I412" s="37" t="n">
        <f aca="false">IF(C412="","",C412-B412)</f>
        <v>4</v>
      </c>
      <c r="J412" s="38" t="str">
        <f aca="false">IF(I412="","",IF(I412&gt;H412,"Delayed","On Time"))</f>
        <v>Delayed</v>
      </c>
      <c r="K412" s="37" t="n">
        <f aca="false">IF(J412="Delayed",I412-H412,"")</f>
        <v>1</v>
      </c>
    </row>
    <row r="413" customFormat="false" ht="15" hidden="false" customHeight="false" outlineLevel="0" collapsed="false">
      <c r="A413" s="35" t="s">
        <v>477</v>
      </c>
      <c r="B413" s="36" t="n">
        <v>46251</v>
      </c>
      <c r="C413" s="36" t="n">
        <v>46253</v>
      </c>
      <c r="D413" s="35" t="s">
        <v>50</v>
      </c>
      <c r="E413" s="35" t="s">
        <v>35</v>
      </c>
      <c r="F413" s="35" t="s">
        <v>15</v>
      </c>
      <c r="G413" s="35"/>
      <c r="H413" s="37" t="n">
        <f aca="false">IFERROR(VLOOKUP(D413,Settings!$A$5:$C$14,3,FALSE()),"")</f>
        <v>3</v>
      </c>
      <c r="I413" s="37" t="n">
        <f aca="false">IF(C413="","",C413-B413)</f>
        <v>2</v>
      </c>
      <c r="J413" s="38" t="str">
        <f aca="false">IF(I413="","",IF(I413&gt;H413,"Delayed","On Time"))</f>
        <v>On Time</v>
      </c>
      <c r="K413" s="37" t="str">
        <f aca="false">IF(J413="Delayed",I413-H413,"")</f>
        <v/>
      </c>
    </row>
    <row r="414" customFormat="false" ht="15" hidden="false" customHeight="false" outlineLevel="0" collapsed="false">
      <c r="A414" s="35" t="s">
        <v>478</v>
      </c>
      <c r="B414" s="36" t="n">
        <v>46251</v>
      </c>
      <c r="C414" s="36" t="n">
        <v>46256</v>
      </c>
      <c r="D414" s="35" t="s">
        <v>53</v>
      </c>
      <c r="E414" s="35" t="s">
        <v>36</v>
      </c>
      <c r="F414" s="35" t="s">
        <v>15</v>
      </c>
      <c r="G414" s="35"/>
      <c r="H414" s="37" t="n">
        <f aca="false">IFERROR(VLOOKUP(D414,Settings!$A$5:$C$14,3,FALSE()),"")</f>
        <v>5</v>
      </c>
      <c r="I414" s="37" t="n">
        <f aca="false">IF(C414="","",C414-B414)</f>
        <v>5</v>
      </c>
      <c r="J414" s="38" t="str">
        <f aca="false">IF(I414="","",IF(I414&gt;H414,"Delayed","On Time"))</f>
        <v>On Time</v>
      </c>
      <c r="K414" s="37" t="str">
        <f aca="false">IF(J414="Delayed",I414-H414,"")</f>
        <v/>
      </c>
    </row>
    <row r="415" customFormat="false" ht="15" hidden="false" customHeight="false" outlineLevel="0" collapsed="false">
      <c r="A415" s="35" t="s">
        <v>479</v>
      </c>
      <c r="B415" s="36" t="n">
        <v>46251</v>
      </c>
      <c r="C415" s="36" t="n">
        <v>46255</v>
      </c>
      <c r="D415" s="35" t="s">
        <v>46</v>
      </c>
      <c r="E415" s="35" t="s">
        <v>35</v>
      </c>
      <c r="F415" s="35" t="s">
        <v>15</v>
      </c>
      <c r="G415" s="35"/>
      <c r="H415" s="37" t="n">
        <f aca="false">IFERROR(VLOOKUP(D415,Settings!$A$5:$C$14,3,FALSE()),"")</f>
        <v>3</v>
      </c>
      <c r="I415" s="37" t="n">
        <f aca="false">IF(C415="","",C415-B415)</f>
        <v>4</v>
      </c>
      <c r="J415" s="38" t="str">
        <f aca="false">IF(I415="","",IF(I415&gt;H415,"Delayed","On Time"))</f>
        <v>Delayed</v>
      </c>
      <c r="K415" s="37" t="n">
        <f aca="false">IF(J415="Delayed",I415-H415,"")</f>
        <v>1</v>
      </c>
    </row>
    <row r="416" customFormat="false" ht="15" hidden="false" customHeight="false" outlineLevel="0" collapsed="false">
      <c r="A416" s="35" t="s">
        <v>480</v>
      </c>
      <c r="B416" s="36" t="n">
        <v>46251</v>
      </c>
      <c r="C416" s="36" t="n">
        <v>46252</v>
      </c>
      <c r="D416" s="35" t="s">
        <v>52</v>
      </c>
      <c r="E416" s="35" t="s">
        <v>34</v>
      </c>
      <c r="F416" s="35" t="s">
        <v>15</v>
      </c>
      <c r="G416" s="35"/>
      <c r="H416" s="37" t="n">
        <f aca="false">IFERROR(VLOOKUP(D416,Settings!$A$5:$C$14,3,FALSE()),"")</f>
        <v>4</v>
      </c>
      <c r="I416" s="37" t="n">
        <f aca="false">IF(C416="","",C416-B416)</f>
        <v>1</v>
      </c>
      <c r="J416" s="38" t="str">
        <f aca="false">IF(I416="","",IF(I416&gt;H416,"Delayed","On Time"))</f>
        <v>On Time</v>
      </c>
      <c r="K416" s="37" t="str">
        <f aca="false">IF(J416="Delayed",I416-H416,"")</f>
        <v/>
      </c>
    </row>
    <row r="417" customFormat="false" ht="15" hidden="false" customHeight="false" outlineLevel="0" collapsed="false">
      <c r="A417" s="35" t="s">
        <v>481</v>
      </c>
      <c r="B417" s="36" t="n">
        <v>46251</v>
      </c>
      <c r="C417" s="36" t="n">
        <v>46253</v>
      </c>
      <c r="D417" s="35" t="s">
        <v>46</v>
      </c>
      <c r="E417" s="35" t="s">
        <v>33</v>
      </c>
      <c r="F417" s="35" t="s">
        <v>15</v>
      </c>
      <c r="G417" s="35"/>
      <c r="H417" s="37" t="n">
        <f aca="false">IFERROR(VLOOKUP(D417,Settings!$A$5:$C$14,3,FALSE()),"")</f>
        <v>3</v>
      </c>
      <c r="I417" s="37" t="n">
        <f aca="false">IF(C417="","",C417-B417)</f>
        <v>2</v>
      </c>
      <c r="J417" s="38" t="str">
        <f aca="false">IF(I417="","",IF(I417&gt;H417,"Delayed","On Time"))</f>
        <v>On Time</v>
      </c>
      <c r="K417" s="37" t="str">
        <f aca="false">IF(J417="Delayed",I417-H417,"")</f>
        <v/>
      </c>
    </row>
    <row r="418" customFormat="false" ht="15" hidden="false" customHeight="false" outlineLevel="0" collapsed="false">
      <c r="A418" s="35" t="s">
        <v>482</v>
      </c>
      <c r="B418" s="36" t="n">
        <v>46251</v>
      </c>
      <c r="C418" s="36"/>
      <c r="D418" s="35" t="s">
        <v>54</v>
      </c>
      <c r="E418" s="35" t="s">
        <v>34</v>
      </c>
      <c r="F418" s="35" t="s">
        <v>18</v>
      </c>
      <c r="G418" s="35" t="s">
        <v>45</v>
      </c>
      <c r="H418" s="37" t="n">
        <f aca="false">IFERROR(VLOOKUP(D418,Settings!$A$5:$C$14,3,FALSE()),"")</f>
        <v>5</v>
      </c>
      <c r="I418" s="37" t="str">
        <f aca="false">IF(C418="","",C418-B418)</f>
        <v/>
      </c>
      <c r="J418" s="38" t="str">
        <f aca="false">IF(I418="","",IF(I418&gt;H418,"Delayed","On Time"))</f>
        <v/>
      </c>
      <c r="K418" s="37" t="str">
        <f aca="false">IF(J418="Delayed",I418-H418,"")</f>
        <v/>
      </c>
    </row>
    <row r="419" customFormat="false" ht="15" hidden="false" customHeight="false" outlineLevel="0" collapsed="false">
      <c r="A419" s="35" t="s">
        <v>483</v>
      </c>
      <c r="B419" s="36" t="n">
        <v>46251</v>
      </c>
      <c r="C419" s="36"/>
      <c r="D419" s="35" t="s">
        <v>46</v>
      </c>
      <c r="E419" s="35" t="s">
        <v>36</v>
      </c>
      <c r="F419" s="35" t="s">
        <v>18</v>
      </c>
      <c r="G419" s="35" t="s">
        <v>45</v>
      </c>
      <c r="H419" s="37" t="n">
        <f aca="false">IFERROR(VLOOKUP(D419,Settings!$A$5:$C$14,3,FALSE()),"")</f>
        <v>3</v>
      </c>
      <c r="I419" s="37" t="str">
        <f aca="false">IF(C419="","",C419-B419)</f>
        <v/>
      </c>
      <c r="J419" s="38" t="str">
        <f aca="false">IF(I419="","",IF(I419&gt;H419,"Delayed","On Time"))</f>
        <v/>
      </c>
      <c r="K419" s="37" t="str">
        <f aca="false">IF(J419="Delayed",I419-H419,"")</f>
        <v/>
      </c>
    </row>
    <row r="420" customFormat="false" ht="15" hidden="false" customHeight="false" outlineLevel="0" collapsed="false">
      <c r="A420" s="35" t="s">
        <v>484</v>
      </c>
      <c r="B420" s="36" t="n">
        <v>46251</v>
      </c>
      <c r="C420" s="36" t="n">
        <v>46254</v>
      </c>
      <c r="D420" s="35" t="s">
        <v>44</v>
      </c>
      <c r="E420" s="35" t="s">
        <v>36</v>
      </c>
      <c r="F420" s="35" t="s">
        <v>15</v>
      </c>
      <c r="G420" s="35"/>
      <c r="H420" s="37" t="n">
        <f aca="false">IFERROR(VLOOKUP(D420,Settings!$A$5:$C$14,3,FALSE()),"")</f>
        <v>3</v>
      </c>
      <c r="I420" s="37" t="n">
        <f aca="false">IF(C420="","",C420-B420)</f>
        <v>3</v>
      </c>
      <c r="J420" s="38" t="str">
        <f aca="false">IF(I420="","",IF(I420&gt;H420,"Delayed","On Time"))</f>
        <v>On Time</v>
      </c>
      <c r="K420" s="37" t="str">
        <f aca="false">IF(J420="Delayed",I420-H420,"")</f>
        <v/>
      </c>
    </row>
    <row r="421" customFormat="false" ht="15" hidden="false" customHeight="false" outlineLevel="0" collapsed="false">
      <c r="A421" s="35" t="s">
        <v>485</v>
      </c>
      <c r="B421" s="36" t="n">
        <v>46251</v>
      </c>
      <c r="C421" s="36" t="n">
        <v>46254</v>
      </c>
      <c r="D421" s="35" t="s">
        <v>48</v>
      </c>
      <c r="E421" s="35" t="s">
        <v>35</v>
      </c>
      <c r="F421" s="35" t="s">
        <v>15</v>
      </c>
      <c r="G421" s="35"/>
      <c r="H421" s="37" t="n">
        <f aca="false">IFERROR(VLOOKUP(D421,Settings!$A$5:$C$14,3,FALSE()),"")</f>
        <v>3</v>
      </c>
      <c r="I421" s="37" t="n">
        <f aca="false">IF(C421="","",C421-B421)</f>
        <v>3</v>
      </c>
      <c r="J421" s="38" t="str">
        <f aca="false">IF(I421="","",IF(I421&gt;H421,"Delayed","On Time"))</f>
        <v>On Time</v>
      </c>
      <c r="K421" s="37" t="str">
        <f aca="false">IF(J421="Delayed",I421-H421,"")</f>
        <v/>
      </c>
    </row>
    <row r="422" customFormat="false" ht="15" hidden="false" customHeight="false" outlineLevel="0" collapsed="false">
      <c r="A422" s="35" t="s">
        <v>486</v>
      </c>
      <c r="B422" s="36" t="n">
        <v>46251</v>
      </c>
      <c r="C422" s="36" t="n">
        <v>46257</v>
      </c>
      <c r="D422" s="35" t="s">
        <v>56</v>
      </c>
      <c r="E422" s="35" t="s">
        <v>35</v>
      </c>
      <c r="F422" s="35" t="s">
        <v>15</v>
      </c>
      <c r="G422" s="35"/>
      <c r="H422" s="37" t="n">
        <f aca="false">IFERROR(VLOOKUP(D422,Settings!$A$5:$C$14,3,FALSE()),"")</f>
        <v>6</v>
      </c>
      <c r="I422" s="37" t="n">
        <f aca="false">IF(C422="","",C422-B422)</f>
        <v>6</v>
      </c>
      <c r="J422" s="38" t="str">
        <f aca="false">IF(I422="","",IF(I422&gt;H422,"Delayed","On Time"))</f>
        <v>On Time</v>
      </c>
      <c r="K422" s="37" t="str">
        <f aca="false">IF(J422="Delayed",I422-H422,"")</f>
        <v/>
      </c>
    </row>
    <row r="423" customFormat="false" ht="15" hidden="false" customHeight="false" outlineLevel="0" collapsed="false">
      <c r="A423" s="35" t="s">
        <v>487</v>
      </c>
      <c r="B423" s="36" t="n">
        <v>46251</v>
      </c>
      <c r="C423" s="36" t="n">
        <v>46252</v>
      </c>
      <c r="D423" s="35" t="s">
        <v>50</v>
      </c>
      <c r="E423" s="35" t="s">
        <v>34</v>
      </c>
      <c r="F423" s="35" t="s">
        <v>15</v>
      </c>
      <c r="G423" s="35"/>
      <c r="H423" s="37" t="n">
        <f aca="false">IFERROR(VLOOKUP(D423,Settings!$A$5:$C$14,3,FALSE()),"")</f>
        <v>3</v>
      </c>
      <c r="I423" s="37" t="n">
        <f aca="false">IF(C423="","",C423-B423)</f>
        <v>1</v>
      </c>
      <c r="J423" s="38" t="str">
        <f aca="false">IF(I423="","",IF(I423&gt;H423,"Delayed","On Time"))</f>
        <v>On Time</v>
      </c>
      <c r="K423" s="37" t="str">
        <f aca="false">IF(J423="Delayed",I423-H423,"")</f>
        <v/>
      </c>
    </row>
    <row r="424" customFormat="false" ht="15" hidden="false" customHeight="false" outlineLevel="0" collapsed="false">
      <c r="A424" s="35" t="s">
        <v>488</v>
      </c>
      <c r="B424" s="36" t="n">
        <v>46251</v>
      </c>
      <c r="C424" s="36" t="n">
        <v>46253</v>
      </c>
      <c r="D424" s="35" t="s">
        <v>48</v>
      </c>
      <c r="E424" s="35" t="s">
        <v>35</v>
      </c>
      <c r="F424" s="35" t="s">
        <v>15</v>
      </c>
      <c r="G424" s="35"/>
      <c r="H424" s="37" t="n">
        <f aca="false">IFERROR(VLOOKUP(D424,Settings!$A$5:$C$14,3,FALSE()),"")</f>
        <v>3</v>
      </c>
      <c r="I424" s="37" t="n">
        <f aca="false">IF(C424="","",C424-B424)</f>
        <v>2</v>
      </c>
      <c r="J424" s="38" t="str">
        <f aca="false">IF(I424="","",IF(I424&gt;H424,"Delayed","On Time"))</f>
        <v>On Time</v>
      </c>
      <c r="K424" s="37" t="str">
        <f aca="false">IF(J424="Delayed",I424-H424,"")</f>
        <v/>
      </c>
    </row>
    <row r="425" customFormat="false" ht="15" hidden="false" customHeight="false" outlineLevel="0" collapsed="false">
      <c r="A425" s="35" t="s">
        <v>489</v>
      </c>
      <c r="B425" s="36" t="n">
        <v>46252</v>
      </c>
      <c r="C425" s="36" t="n">
        <v>46257</v>
      </c>
      <c r="D425" s="35" t="s">
        <v>55</v>
      </c>
      <c r="E425" s="35" t="s">
        <v>34</v>
      </c>
      <c r="F425" s="35" t="s">
        <v>15</v>
      </c>
      <c r="G425" s="35"/>
      <c r="H425" s="37" t="n">
        <f aca="false">IFERROR(VLOOKUP(D425,Settings!$A$5:$C$14,3,FALSE()),"")</f>
        <v>5</v>
      </c>
      <c r="I425" s="37" t="n">
        <f aca="false">IF(C425="","",C425-B425)</f>
        <v>5</v>
      </c>
      <c r="J425" s="38" t="str">
        <f aca="false">IF(I425="","",IF(I425&gt;H425,"Delayed","On Time"))</f>
        <v>On Time</v>
      </c>
      <c r="K425" s="37" t="str">
        <f aca="false">IF(J425="Delayed",I425-H425,"")</f>
        <v/>
      </c>
    </row>
    <row r="426" customFormat="false" ht="15" hidden="false" customHeight="false" outlineLevel="0" collapsed="false">
      <c r="A426" s="35" t="s">
        <v>490</v>
      </c>
      <c r="B426" s="36" t="n">
        <v>46252</v>
      </c>
      <c r="C426" s="36" t="n">
        <v>46254</v>
      </c>
      <c r="D426" s="35" t="s">
        <v>46</v>
      </c>
      <c r="E426" s="35" t="s">
        <v>36</v>
      </c>
      <c r="F426" s="35" t="s">
        <v>15</v>
      </c>
      <c r="G426" s="35"/>
      <c r="H426" s="37" t="n">
        <f aca="false">IFERROR(VLOOKUP(D426,Settings!$A$5:$C$14,3,FALSE()),"")</f>
        <v>3</v>
      </c>
      <c r="I426" s="37" t="n">
        <f aca="false">IF(C426="","",C426-B426)</f>
        <v>2</v>
      </c>
      <c r="J426" s="38" t="str">
        <f aca="false">IF(I426="","",IF(I426&gt;H426,"Delayed","On Time"))</f>
        <v>On Time</v>
      </c>
      <c r="K426" s="37" t="str">
        <f aca="false">IF(J426="Delayed",I426-H426,"")</f>
        <v/>
      </c>
    </row>
    <row r="427" customFormat="false" ht="15" hidden="false" customHeight="false" outlineLevel="0" collapsed="false">
      <c r="A427" s="35" t="s">
        <v>491</v>
      </c>
      <c r="B427" s="36" t="n">
        <v>46252</v>
      </c>
      <c r="C427" s="36" t="n">
        <v>46253</v>
      </c>
      <c r="D427" s="35" t="s">
        <v>46</v>
      </c>
      <c r="E427" s="35" t="s">
        <v>33</v>
      </c>
      <c r="F427" s="35" t="s">
        <v>15</v>
      </c>
      <c r="G427" s="35"/>
      <c r="H427" s="37" t="n">
        <f aca="false">IFERROR(VLOOKUP(D427,Settings!$A$5:$C$14,3,FALSE()),"")</f>
        <v>3</v>
      </c>
      <c r="I427" s="37" t="n">
        <f aca="false">IF(C427="","",C427-B427)</f>
        <v>1</v>
      </c>
      <c r="J427" s="38" t="str">
        <f aca="false">IF(I427="","",IF(I427&gt;H427,"Delayed","On Time"))</f>
        <v>On Time</v>
      </c>
      <c r="K427" s="37" t="str">
        <f aca="false">IF(J427="Delayed",I427-H427,"")</f>
        <v/>
      </c>
    </row>
    <row r="428" customFormat="false" ht="15" hidden="false" customHeight="false" outlineLevel="0" collapsed="false">
      <c r="A428" s="35" t="s">
        <v>492</v>
      </c>
      <c r="B428" s="36" t="n">
        <v>46252</v>
      </c>
      <c r="C428" s="36" t="n">
        <v>46258</v>
      </c>
      <c r="D428" s="35" t="s">
        <v>53</v>
      </c>
      <c r="E428" s="35" t="s">
        <v>35</v>
      </c>
      <c r="F428" s="35" t="s">
        <v>15</v>
      </c>
      <c r="G428" s="35"/>
      <c r="H428" s="37" t="n">
        <f aca="false">IFERROR(VLOOKUP(D428,Settings!$A$5:$C$14,3,FALSE()),"")</f>
        <v>5</v>
      </c>
      <c r="I428" s="37" t="n">
        <f aca="false">IF(C428="","",C428-B428)</f>
        <v>6</v>
      </c>
      <c r="J428" s="38" t="str">
        <f aca="false">IF(I428="","",IF(I428&gt;H428,"Delayed","On Time"))</f>
        <v>Delayed</v>
      </c>
      <c r="K428" s="37" t="n">
        <f aca="false">IF(J428="Delayed",I428-H428,"")</f>
        <v>1</v>
      </c>
    </row>
    <row r="429" customFormat="false" ht="15" hidden="false" customHeight="false" outlineLevel="0" collapsed="false">
      <c r="A429" s="35" t="s">
        <v>493</v>
      </c>
      <c r="B429" s="36" t="n">
        <v>46252</v>
      </c>
      <c r="C429" s="36" t="n">
        <v>46257</v>
      </c>
      <c r="D429" s="35" t="s">
        <v>48</v>
      </c>
      <c r="E429" s="35" t="s">
        <v>35</v>
      </c>
      <c r="F429" s="35" t="s">
        <v>15</v>
      </c>
      <c r="G429" s="35"/>
      <c r="H429" s="37" t="n">
        <f aca="false">IFERROR(VLOOKUP(D429,Settings!$A$5:$C$14,3,FALSE()),"")</f>
        <v>3</v>
      </c>
      <c r="I429" s="37" t="n">
        <f aca="false">IF(C429="","",C429-B429)</f>
        <v>5</v>
      </c>
      <c r="J429" s="38" t="str">
        <f aca="false">IF(I429="","",IF(I429&gt;H429,"Delayed","On Time"))</f>
        <v>Delayed</v>
      </c>
      <c r="K429" s="37" t="n">
        <f aca="false">IF(J429="Delayed",I429-H429,"")</f>
        <v>2</v>
      </c>
    </row>
    <row r="430" customFormat="false" ht="15" hidden="false" customHeight="false" outlineLevel="0" collapsed="false">
      <c r="A430" s="35" t="s">
        <v>494</v>
      </c>
      <c r="B430" s="36" t="n">
        <v>46252</v>
      </c>
      <c r="C430" s="36" t="n">
        <v>46257</v>
      </c>
      <c r="D430" s="35" t="s">
        <v>55</v>
      </c>
      <c r="E430" s="35" t="s">
        <v>33</v>
      </c>
      <c r="F430" s="35" t="s">
        <v>15</v>
      </c>
      <c r="G430" s="35"/>
      <c r="H430" s="37" t="n">
        <f aca="false">IFERROR(VLOOKUP(D430,Settings!$A$5:$C$14,3,FALSE()),"")</f>
        <v>5</v>
      </c>
      <c r="I430" s="37" t="n">
        <f aca="false">IF(C430="","",C430-B430)</f>
        <v>5</v>
      </c>
      <c r="J430" s="38" t="str">
        <f aca="false">IF(I430="","",IF(I430&gt;H430,"Delayed","On Time"))</f>
        <v>On Time</v>
      </c>
      <c r="K430" s="37" t="str">
        <f aca="false">IF(J430="Delayed",I430-H430,"")</f>
        <v/>
      </c>
    </row>
    <row r="431" customFormat="false" ht="15" hidden="false" customHeight="false" outlineLevel="0" collapsed="false">
      <c r="A431" s="35" t="s">
        <v>495</v>
      </c>
      <c r="B431" s="36" t="n">
        <v>46252</v>
      </c>
      <c r="C431" s="36" t="n">
        <v>46255</v>
      </c>
      <c r="D431" s="35" t="s">
        <v>48</v>
      </c>
      <c r="E431" s="35" t="s">
        <v>35</v>
      </c>
      <c r="F431" s="35" t="s">
        <v>15</v>
      </c>
      <c r="G431" s="35"/>
      <c r="H431" s="37" t="n">
        <f aca="false">IFERROR(VLOOKUP(D431,Settings!$A$5:$C$14,3,FALSE()),"")</f>
        <v>3</v>
      </c>
      <c r="I431" s="37" t="n">
        <f aca="false">IF(C431="","",C431-B431)</f>
        <v>3</v>
      </c>
      <c r="J431" s="38" t="str">
        <f aca="false">IF(I431="","",IF(I431&gt;H431,"Delayed","On Time"))</f>
        <v>On Time</v>
      </c>
      <c r="K431" s="37" t="str">
        <f aca="false">IF(J431="Delayed",I431-H431,"")</f>
        <v/>
      </c>
    </row>
    <row r="432" customFormat="false" ht="15" hidden="false" customHeight="false" outlineLevel="0" collapsed="false">
      <c r="A432" s="35" t="s">
        <v>496</v>
      </c>
      <c r="B432" s="36" t="n">
        <v>46253</v>
      </c>
      <c r="C432" s="36" t="n">
        <v>46259</v>
      </c>
      <c r="D432" s="35" t="s">
        <v>54</v>
      </c>
      <c r="E432" s="35" t="s">
        <v>35</v>
      </c>
      <c r="F432" s="35" t="s">
        <v>15</v>
      </c>
      <c r="G432" s="35"/>
      <c r="H432" s="37" t="n">
        <f aca="false">IFERROR(VLOOKUP(D432,Settings!$A$5:$C$14,3,FALSE()),"")</f>
        <v>5</v>
      </c>
      <c r="I432" s="37" t="n">
        <f aca="false">IF(C432="","",C432-B432)</f>
        <v>6</v>
      </c>
      <c r="J432" s="38" t="str">
        <f aca="false">IF(I432="","",IF(I432&gt;H432,"Delayed","On Time"))</f>
        <v>Delayed</v>
      </c>
      <c r="K432" s="37" t="n">
        <f aca="false">IF(J432="Delayed",I432-H432,"")</f>
        <v>1</v>
      </c>
    </row>
    <row r="433" customFormat="false" ht="15" hidden="false" customHeight="false" outlineLevel="0" collapsed="false">
      <c r="A433" s="35" t="s">
        <v>497</v>
      </c>
      <c r="B433" s="36" t="n">
        <v>46253</v>
      </c>
      <c r="C433" s="36" t="n">
        <v>46260</v>
      </c>
      <c r="D433" s="35" t="s">
        <v>50</v>
      </c>
      <c r="E433" s="35" t="s">
        <v>36</v>
      </c>
      <c r="F433" s="35" t="s">
        <v>15</v>
      </c>
      <c r="G433" s="35"/>
      <c r="H433" s="37" t="n">
        <f aca="false">IFERROR(VLOOKUP(D433,Settings!$A$5:$C$14,3,FALSE()),"")</f>
        <v>3</v>
      </c>
      <c r="I433" s="37" t="n">
        <f aca="false">IF(C433="","",C433-B433)</f>
        <v>7</v>
      </c>
      <c r="J433" s="38" t="str">
        <f aca="false">IF(I433="","",IF(I433&gt;H433,"Delayed","On Time"))</f>
        <v>Delayed</v>
      </c>
      <c r="K433" s="37" t="n">
        <f aca="false">IF(J433="Delayed",I433-H433,"")</f>
        <v>4</v>
      </c>
    </row>
    <row r="434" customFormat="false" ht="15" hidden="false" customHeight="false" outlineLevel="0" collapsed="false">
      <c r="A434" s="35" t="s">
        <v>498</v>
      </c>
      <c r="B434" s="36" t="n">
        <v>46253</v>
      </c>
      <c r="C434" s="36" t="n">
        <v>46258</v>
      </c>
      <c r="D434" s="35" t="s">
        <v>44</v>
      </c>
      <c r="E434" s="35" t="s">
        <v>35</v>
      </c>
      <c r="F434" s="35" t="s">
        <v>15</v>
      </c>
      <c r="G434" s="35"/>
      <c r="H434" s="37" t="n">
        <f aca="false">IFERROR(VLOOKUP(D434,Settings!$A$5:$C$14,3,FALSE()),"")</f>
        <v>3</v>
      </c>
      <c r="I434" s="37" t="n">
        <f aca="false">IF(C434="","",C434-B434)</f>
        <v>5</v>
      </c>
      <c r="J434" s="38" t="str">
        <f aca="false">IF(I434="","",IF(I434&gt;H434,"Delayed","On Time"))</f>
        <v>Delayed</v>
      </c>
      <c r="K434" s="37" t="n">
        <f aca="false">IF(J434="Delayed",I434-H434,"")</f>
        <v>2</v>
      </c>
    </row>
    <row r="435" customFormat="false" ht="15" hidden="false" customHeight="false" outlineLevel="0" collapsed="false">
      <c r="A435" s="35" t="s">
        <v>499</v>
      </c>
      <c r="B435" s="36" t="n">
        <v>46253</v>
      </c>
      <c r="C435" s="36" t="n">
        <v>46256</v>
      </c>
      <c r="D435" s="35" t="s">
        <v>46</v>
      </c>
      <c r="E435" s="35" t="s">
        <v>33</v>
      </c>
      <c r="F435" s="35" t="s">
        <v>15</v>
      </c>
      <c r="G435" s="35"/>
      <c r="H435" s="37" t="n">
        <f aca="false">IFERROR(VLOOKUP(D435,Settings!$A$5:$C$14,3,FALSE()),"")</f>
        <v>3</v>
      </c>
      <c r="I435" s="37" t="n">
        <f aca="false">IF(C435="","",C435-B435)</f>
        <v>3</v>
      </c>
      <c r="J435" s="38" t="str">
        <f aca="false">IF(I435="","",IF(I435&gt;H435,"Delayed","On Time"))</f>
        <v>On Time</v>
      </c>
      <c r="K435" s="37" t="str">
        <f aca="false">IF(J435="Delayed",I435-H435,"")</f>
        <v/>
      </c>
    </row>
    <row r="436" customFormat="false" ht="15" hidden="false" customHeight="false" outlineLevel="0" collapsed="false">
      <c r="A436" s="35" t="s">
        <v>500</v>
      </c>
      <c r="B436" s="36" t="n">
        <v>46253</v>
      </c>
      <c r="C436" s="36" t="n">
        <v>46255</v>
      </c>
      <c r="D436" s="35" t="s">
        <v>44</v>
      </c>
      <c r="E436" s="35" t="s">
        <v>34</v>
      </c>
      <c r="F436" s="35" t="s">
        <v>15</v>
      </c>
      <c r="G436" s="35"/>
      <c r="H436" s="37" t="n">
        <f aca="false">IFERROR(VLOOKUP(D436,Settings!$A$5:$C$14,3,FALSE()),"")</f>
        <v>3</v>
      </c>
      <c r="I436" s="37" t="n">
        <f aca="false">IF(C436="","",C436-B436)</f>
        <v>2</v>
      </c>
      <c r="J436" s="38" t="str">
        <f aca="false">IF(I436="","",IF(I436&gt;H436,"Delayed","On Time"))</f>
        <v>On Time</v>
      </c>
      <c r="K436" s="37" t="str">
        <f aca="false">IF(J436="Delayed",I436-H436,"")</f>
        <v/>
      </c>
    </row>
    <row r="437" customFormat="false" ht="15" hidden="false" customHeight="false" outlineLevel="0" collapsed="false">
      <c r="A437" s="35" t="s">
        <v>501</v>
      </c>
      <c r="B437" s="36" t="n">
        <v>46253</v>
      </c>
      <c r="C437" s="36" t="n">
        <v>46256</v>
      </c>
      <c r="D437" s="35" t="s">
        <v>46</v>
      </c>
      <c r="E437" s="35" t="s">
        <v>35</v>
      </c>
      <c r="F437" s="35" t="s">
        <v>15</v>
      </c>
      <c r="G437" s="35"/>
      <c r="H437" s="37" t="n">
        <f aca="false">IFERROR(VLOOKUP(D437,Settings!$A$5:$C$14,3,FALSE()),"")</f>
        <v>3</v>
      </c>
      <c r="I437" s="37" t="n">
        <f aca="false">IF(C437="","",C437-B437)</f>
        <v>3</v>
      </c>
      <c r="J437" s="38" t="str">
        <f aca="false">IF(I437="","",IF(I437&gt;H437,"Delayed","On Time"))</f>
        <v>On Time</v>
      </c>
      <c r="K437" s="37" t="str">
        <f aca="false">IF(J437="Delayed",I437-H437,"")</f>
        <v/>
      </c>
    </row>
    <row r="438" customFormat="false" ht="15" hidden="false" customHeight="false" outlineLevel="0" collapsed="false">
      <c r="A438" s="35" t="s">
        <v>502</v>
      </c>
      <c r="B438" s="36" t="n">
        <v>46253</v>
      </c>
      <c r="C438" s="36" t="n">
        <v>46256</v>
      </c>
      <c r="D438" s="35" t="s">
        <v>48</v>
      </c>
      <c r="E438" s="35" t="s">
        <v>35</v>
      </c>
      <c r="F438" s="35" t="s">
        <v>15</v>
      </c>
      <c r="G438" s="35"/>
      <c r="H438" s="37" t="n">
        <f aca="false">IFERROR(VLOOKUP(D438,Settings!$A$5:$C$14,3,FALSE()),"")</f>
        <v>3</v>
      </c>
      <c r="I438" s="37" t="n">
        <f aca="false">IF(C438="","",C438-B438)</f>
        <v>3</v>
      </c>
      <c r="J438" s="38" t="str">
        <f aca="false">IF(I438="","",IF(I438&gt;H438,"Delayed","On Time"))</f>
        <v>On Time</v>
      </c>
      <c r="K438" s="37" t="str">
        <f aca="false">IF(J438="Delayed",I438-H438,"")</f>
        <v/>
      </c>
    </row>
    <row r="439" customFormat="false" ht="15" hidden="false" customHeight="false" outlineLevel="0" collapsed="false">
      <c r="A439" s="35" t="s">
        <v>503</v>
      </c>
      <c r="B439" s="36" t="n">
        <v>46253</v>
      </c>
      <c r="C439" s="36" t="n">
        <v>46260</v>
      </c>
      <c r="D439" s="35" t="s">
        <v>53</v>
      </c>
      <c r="E439" s="35" t="s">
        <v>35</v>
      </c>
      <c r="F439" s="35" t="s">
        <v>15</v>
      </c>
      <c r="G439" s="35"/>
      <c r="H439" s="37" t="n">
        <f aca="false">IFERROR(VLOOKUP(D439,Settings!$A$5:$C$14,3,FALSE()),"")</f>
        <v>5</v>
      </c>
      <c r="I439" s="37" t="n">
        <f aca="false">IF(C439="","",C439-B439)</f>
        <v>7</v>
      </c>
      <c r="J439" s="38" t="str">
        <f aca="false">IF(I439="","",IF(I439&gt;H439,"Delayed","On Time"))</f>
        <v>Delayed</v>
      </c>
      <c r="K439" s="37" t="n">
        <f aca="false">IF(J439="Delayed",I439-H439,"")</f>
        <v>2</v>
      </c>
    </row>
    <row r="440" customFormat="false" ht="15" hidden="false" customHeight="false" outlineLevel="0" collapsed="false">
      <c r="A440" s="35" t="s">
        <v>504</v>
      </c>
      <c r="B440" s="36" t="n">
        <v>46254</v>
      </c>
      <c r="C440" s="36" t="n">
        <v>46257</v>
      </c>
      <c r="D440" s="35" t="s">
        <v>54</v>
      </c>
      <c r="E440" s="35" t="s">
        <v>36</v>
      </c>
      <c r="F440" s="35" t="s">
        <v>15</v>
      </c>
      <c r="G440" s="35"/>
      <c r="H440" s="37" t="n">
        <f aca="false">IFERROR(VLOOKUP(D440,Settings!$A$5:$C$14,3,FALSE()),"")</f>
        <v>5</v>
      </c>
      <c r="I440" s="37" t="n">
        <f aca="false">IF(C440="","",C440-B440)</f>
        <v>3</v>
      </c>
      <c r="J440" s="38" t="str">
        <f aca="false">IF(I440="","",IF(I440&gt;H440,"Delayed","On Time"))</f>
        <v>On Time</v>
      </c>
      <c r="K440" s="37" t="str">
        <f aca="false">IF(J440="Delayed",I440-H440,"")</f>
        <v/>
      </c>
    </row>
    <row r="441" customFormat="false" ht="15" hidden="false" customHeight="false" outlineLevel="0" collapsed="false">
      <c r="A441" s="35" t="s">
        <v>505</v>
      </c>
      <c r="B441" s="36" t="n">
        <v>46254</v>
      </c>
      <c r="C441" s="36" t="n">
        <v>46255</v>
      </c>
      <c r="D441" s="35" t="s">
        <v>48</v>
      </c>
      <c r="E441" s="35" t="s">
        <v>33</v>
      </c>
      <c r="F441" s="35" t="s">
        <v>15</v>
      </c>
      <c r="G441" s="35"/>
      <c r="H441" s="37" t="n">
        <f aca="false">IFERROR(VLOOKUP(D441,Settings!$A$5:$C$14,3,FALSE()),"")</f>
        <v>3</v>
      </c>
      <c r="I441" s="37" t="n">
        <f aca="false">IF(C441="","",C441-B441)</f>
        <v>1</v>
      </c>
      <c r="J441" s="38" t="str">
        <f aca="false">IF(I441="","",IF(I441&gt;H441,"Delayed","On Time"))</f>
        <v>On Time</v>
      </c>
      <c r="K441" s="37" t="str">
        <f aca="false">IF(J441="Delayed",I441-H441,"")</f>
        <v/>
      </c>
    </row>
    <row r="442" customFormat="false" ht="15" hidden="false" customHeight="false" outlineLevel="0" collapsed="false">
      <c r="A442" s="35" t="s">
        <v>506</v>
      </c>
      <c r="B442" s="36" t="n">
        <v>46254</v>
      </c>
      <c r="C442" s="36" t="n">
        <v>46260</v>
      </c>
      <c r="D442" s="35" t="s">
        <v>44</v>
      </c>
      <c r="E442" s="35" t="s">
        <v>35</v>
      </c>
      <c r="F442" s="35" t="s">
        <v>15</v>
      </c>
      <c r="G442" s="35"/>
      <c r="H442" s="37" t="n">
        <f aca="false">IFERROR(VLOOKUP(D442,Settings!$A$5:$C$14,3,FALSE()),"")</f>
        <v>3</v>
      </c>
      <c r="I442" s="37" t="n">
        <f aca="false">IF(C442="","",C442-B442)</f>
        <v>6</v>
      </c>
      <c r="J442" s="38" t="str">
        <f aca="false">IF(I442="","",IF(I442&gt;H442,"Delayed","On Time"))</f>
        <v>Delayed</v>
      </c>
      <c r="K442" s="37" t="n">
        <f aca="false">IF(J442="Delayed",I442-H442,"")</f>
        <v>3</v>
      </c>
    </row>
    <row r="443" customFormat="false" ht="15" hidden="false" customHeight="false" outlineLevel="0" collapsed="false">
      <c r="A443" s="35" t="s">
        <v>507</v>
      </c>
      <c r="B443" s="36" t="n">
        <v>46254</v>
      </c>
      <c r="C443" s="36" t="n">
        <v>46259</v>
      </c>
      <c r="D443" s="35" t="s">
        <v>44</v>
      </c>
      <c r="E443" s="35" t="s">
        <v>35</v>
      </c>
      <c r="F443" s="35" t="s">
        <v>15</v>
      </c>
      <c r="G443" s="35"/>
      <c r="H443" s="37" t="n">
        <f aca="false">IFERROR(VLOOKUP(D443,Settings!$A$5:$C$14,3,FALSE()),"")</f>
        <v>3</v>
      </c>
      <c r="I443" s="37" t="n">
        <f aca="false">IF(C443="","",C443-B443)</f>
        <v>5</v>
      </c>
      <c r="J443" s="38" t="str">
        <f aca="false">IF(I443="","",IF(I443&gt;H443,"Delayed","On Time"))</f>
        <v>Delayed</v>
      </c>
      <c r="K443" s="37" t="n">
        <f aca="false">IF(J443="Delayed",I443-H443,"")</f>
        <v>2</v>
      </c>
    </row>
    <row r="444" customFormat="false" ht="15" hidden="false" customHeight="false" outlineLevel="0" collapsed="false">
      <c r="A444" s="35" t="s">
        <v>508</v>
      </c>
      <c r="B444" s="36" t="n">
        <v>46254</v>
      </c>
      <c r="C444" s="36" t="n">
        <v>46257</v>
      </c>
      <c r="D444" s="35" t="s">
        <v>52</v>
      </c>
      <c r="E444" s="35" t="s">
        <v>34</v>
      </c>
      <c r="F444" s="35" t="s">
        <v>15</v>
      </c>
      <c r="G444" s="35"/>
      <c r="H444" s="37" t="n">
        <f aca="false">IFERROR(VLOOKUP(D444,Settings!$A$5:$C$14,3,FALSE()),"")</f>
        <v>4</v>
      </c>
      <c r="I444" s="37" t="n">
        <f aca="false">IF(C444="","",C444-B444)</f>
        <v>3</v>
      </c>
      <c r="J444" s="38" t="str">
        <f aca="false">IF(I444="","",IF(I444&gt;H444,"Delayed","On Time"))</f>
        <v>On Time</v>
      </c>
      <c r="K444" s="37" t="str">
        <f aca="false">IF(J444="Delayed",I444-H444,"")</f>
        <v/>
      </c>
    </row>
    <row r="445" customFormat="false" ht="15" hidden="false" customHeight="false" outlineLevel="0" collapsed="false">
      <c r="A445" s="35" t="s">
        <v>509</v>
      </c>
      <c r="B445" s="36" t="n">
        <v>46254</v>
      </c>
      <c r="C445" s="36"/>
      <c r="D445" s="35" t="s">
        <v>52</v>
      </c>
      <c r="E445" s="35" t="s">
        <v>35</v>
      </c>
      <c r="F445" s="35" t="s">
        <v>18</v>
      </c>
      <c r="G445" s="35" t="s">
        <v>49</v>
      </c>
      <c r="H445" s="37" t="n">
        <f aca="false">IFERROR(VLOOKUP(D445,Settings!$A$5:$C$14,3,FALSE()),"")</f>
        <v>4</v>
      </c>
      <c r="I445" s="37" t="str">
        <f aca="false">IF(C445="","",C445-B445)</f>
        <v/>
      </c>
      <c r="J445" s="38" t="str">
        <f aca="false">IF(I445="","",IF(I445&gt;H445,"Delayed","On Time"))</f>
        <v/>
      </c>
      <c r="K445" s="37" t="str">
        <f aca="false">IF(J445="Delayed",I445-H445,"")</f>
        <v/>
      </c>
    </row>
    <row r="446" customFormat="false" ht="15" hidden="false" customHeight="false" outlineLevel="0" collapsed="false">
      <c r="A446" s="35" t="s">
        <v>510</v>
      </c>
      <c r="B446" s="36" t="n">
        <v>46254</v>
      </c>
      <c r="C446" s="36" t="n">
        <v>46258</v>
      </c>
      <c r="D446" s="35" t="s">
        <v>48</v>
      </c>
      <c r="E446" s="35" t="s">
        <v>34</v>
      </c>
      <c r="F446" s="35" t="s">
        <v>15</v>
      </c>
      <c r="G446" s="35"/>
      <c r="H446" s="37" t="n">
        <f aca="false">IFERROR(VLOOKUP(D446,Settings!$A$5:$C$14,3,FALSE()),"")</f>
        <v>3</v>
      </c>
      <c r="I446" s="37" t="n">
        <f aca="false">IF(C446="","",C446-B446)</f>
        <v>4</v>
      </c>
      <c r="J446" s="38" t="str">
        <f aca="false">IF(I446="","",IF(I446&gt;H446,"Delayed","On Time"))</f>
        <v>Delayed</v>
      </c>
      <c r="K446" s="37" t="n">
        <f aca="false">IF(J446="Delayed",I446-H446,"")</f>
        <v>1</v>
      </c>
    </row>
    <row r="447" customFormat="false" ht="15" hidden="false" customHeight="false" outlineLevel="0" collapsed="false">
      <c r="A447" s="35" t="s">
        <v>511</v>
      </c>
      <c r="B447" s="36" t="n">
        <v>46254</v>
      </c>
      <c r="C447" s="36" t="n">
        <v>46255</v>
      </c>
      <c r="D447" s="35" t="s">
        <v>44</v>
      </c>
      <c r="E447" s="35" t="s">
        <v>33</v>
      </c>
      <c r="F447" s="35" t="s">
        <v>15</v>
      </c>
      <c r="G447" s="35"/>
      <c r="H447" s="37" t="n">
        <f aca="false">IFERROR(VLOOKUP(D447,Settings!$A$5:$C$14,3,FALSE()),"")</f>
        <v>3</v>
      </c>
      <c r="I447" s="37" t="n">
        <f aca="false">IF(C447="","",C447-B447)</f>
        <v>1</v>
      </c>
      <c r="J447" s="38" t="str">
        <f aca="false">IF(I447="","",IF(I447&gt;H447,"Delayed","On Time"))</f>
        <v>On Time</v>
      </c>
      <c r="K447" s="37" t="str">
        <f aca="false">IF(J447="Delayed",I447-H447,"")</f>
        <v/>
      </c>
    </row>
    <row r="448" customFormat="false" ht="15" hidden="false" customHeight="false" outlineLevel="0" collapsed="false">
      <c r="A448" s="35" t="s">
        <v>512</v>
      </c>
      <c r="B448" s="36" t="n">
        <v>46254</v>
      </c>
      <c r="C448" s="36" t="n">
        <v>46257</v>
      </c>
      <c r="D448" s="35" t="s">
        <v>48</v>
      </c>
      <c r="E448" s="35" t="s">
        <v>36</v>
      </c>
      <c r="F448" s="35" t="s">
        <v>15</v>
      </c>
      <c r="G448" s="35"/>
      <c r="H448" s="37" t="n">
        <f aca="false">IFERROR(VLOOKUP(D448,Settings!$A$5:$C$14,3,FALSE()),"")</f>
        <v>3</v>
      </c>
      <c r="I448" s="37" t="n">
        <f aca="false">IF(C448="","",C448-B448)</f>
        <v>3</v>
      </c>
      <c r="J448" s="38" t="str">
        <f aca="false">IF(I448="","",IF(I448&gt;H448,"Delayed","On Time"))</f>
        <v>On Time</v>
      </c>
      <c r="K448" s="37" t="str">
        <f aca="false">IF(J448="Delayed",I448-H448,"")</f>
        <v/>
      </c>
    </row>
    <row r="449" customFormat="false" ht="15" hidden="false" customHeight="false" outlineLevel="0" collapsed="false">
      <c r="A449" s="35" t="s">
        <v>513</v>
      </c>
      <c r="B449" s="36" t="n">
        <v>46255</v>
      </c>
      <c r="C449" s="36" t="n">
        <v>46259</v>
      </c>
      <c r="D449" s="35" t="s">
        <v>44</v>
      </c>
      <c r="E449" s="35" t="s">
        <v>33</v>
      </c>
      <c r="F449" s="35" t="s">
        <v>15</v>
      </c>
      <c r="G449" s="35"/>
      <c r="H449" s="37" t="n">
        <f aca="false">IFERROR(VLOOKUP(D449,Settings!$A$5:$C$14,3,FALSE()),"")</f>
        <v>3</v>
      </c>
      <c r="I449" s="37" t="n">
        <f aca="false">IF(C449="","",C449-B449)</f>
        <v>4</v>
      </c>
      <c r="J449" s="38" t="str">
        <f aca="false">IF(I449="","",IF(I449&gt;H449,"Delayed","On Time"))</f>
        <v>Delayed</v>
      </c>
      <c r="K449" s="37" t="n">
        <f aca="false">IF(J449="Delayed",I449-H449,"")</f>
        <v>1</v>
      </c>
    </row>
    <row r="450" customFormat="false" ht="15" hidden="false" customHeight="false" outlineLevel="0" collapsed="false">
      <c r="A450" s="35" t="s">
        <v>514</v>
      </c>
      <c r="B450" s="36" t="n">
        <v>46255</v>
      </c>
      <c r="C450" s="36" t="n">
        <v>46257</v>
      </c>
      <c r="D450" s="35" t="s">
        <v>50</v>
      </c>
      <c r="E450" s="35" t="s">
        <v>35</v>
      </c>
      <c r="F450" s="35" t="s">
        <v>15</v>
      </c>
      <c r="G450" s="35"/>
      <c r="H450" s="37" t="n">
        <f aca="false">IFERROR(VLOOKUP(D450,Settings!$A$5:$C$14,3,FALSE()),"")</f>
        <v>3</v>
      </c>
      <c r="I450" s="37" t="n">
        <f aca="false">IF(C450="","",C450-B450)</f>
        <v>2</v>
      </c>
      <c r="J450" s="38" t="str">
        <f aca="false">IF(I450="","",IF(I450&gt;H450,"Delayed","On Time"))</f>
        <v>On Time</v>
      </c>
      <c r="K450" s="37" t="str">
        <f aca="false">IF(J450="Delayed",I450-H450,"")</f>
        <v/>
      </c>
    </row>
    <row r="451" customFormat="false" ht="15" hidden="false" customHeight="false" outlineLevel="0" collapsed="false">
      <c r="A451" s="35" t="s">
        <v>515</v>
      </c>
      <c r="B451" s="36" t="n">
        <v>46255</v>
      </c>
      <c r="C451" s="36" t="n">
        <v>46259</v>
      </c>
      <c r="D451" s="35" t="s">
        <v>44</v>
      </c>
      <c r="E451" s="35" t="s">
        <v>34</v>
      </c>
      <c r="F451" s="35" t="s">
        <v>15</v>
      </c>
      <c r="G451" s="35"/>
      <c r="H451" s="37" t="n">
        <f aca="false">IFERROR(VLOOKUP(D451,Settings!$A$5:$C$14,3,FALSE()),"")</f>
        <v>3</v>
      </c>
      <c r="I451" s="37" t="n">
        <f aca="false">IF(C451="","",C451-B451)</f>
        <v>4</v>
      </c>
      <c r="J451" s="38" t="str">
        <f aca="false">IF(I451="","",IF(I451&gt;H451,"Delayed","On Time"))</f>
        <v>Delayed</v>
      </c>
      <c r="K451" s="37" t="n">
        <f aca="false">IF(J451="Delayed",I451-H451,"")</f>
        <v>1</v>
      </c>
    </row>
    <row r="452" customFormat="false" ht="15" hidden="false" customHeight="false" outlineLevel="0" collapsed="false">
      <c r="A452" s="35" t="s">
        <v>516</v>
      </c>
      <c r="B452" s="36" t="n">
        <v>46255</v>
      </c>
      <c r="C452" s="36" t="n">
        <v>46259</v>
      </c>
      <c r="D452" s="35" t="s">
        <v>44</v>
      </c>
      <c r="E452" s="35" t="s">
        <v>35</v>
      </c>
      <c r="F452" s="35" t="s">
        <v>17</v>
      </c>
      <c r="G452" s="35" t="s">
        <v>43</v>
      </c>
      <c r="H452" s="37" t="n">
        <f aca="false">IFERROR(VLOOKUP(D452,Settings!$A$5:$C$14,3,FALSE()),"")</f>
        <v>3</v>
      </c>
      <c r="I452" s="37" t="n">
        <f aca="false">IF(C452="","",C452-B452)</f>
        <v>4</v>
      </c>
      <c r="J452" s="38" t="str">
        <f aca="false">IF(I452="","",IF(I452&gt;H452,"Delayed","On Time"))</f>
        <v>Delayed</v>
      </c>
      <c r="K452" s="37" t="n">
        <f aca="false">IF(J452="Delayed",I452-H452,"")</f>
        <v>1</v>
      </c>
    </row>
    <row r="453" customFormat="false" ht="15" hidden="false" customHeight="false" outlineLevel="0" collapsed="false">
      <c r="A453" s="35" t="s">
        <v>517</v>
      </c>
      <c r="B453" s="36" t="n">
        <v>46255</v>
      </c>
      <c r="C453" s="36" t="n">
        <v>46261</v>
      </c>
      <c r="D453" s="35" t="s">
        <v>53</v>
      </c>
      <c r="E453" s="35" t="s">
        <v>33</v>
      </c>
      <c r="F453" s="35" t="s">
        <v>15</v>
      </c>
      <c r="G453" s="35"/>
      <c r="H453" s="37" t="n">
        <f aca="false">IFERROR(VLOOKUP(D453,Settings!$A$5:$C$14,3,FALSE()),"")</f>
        <v>5</v>
      </c>
      <c r="I453" s="37" t="n">
        <f aca="false">IF(C453="","",C453-B453)</f>
        <v>6</v>
      </c>
      <c r="J453" s="38" t="str">
        <f aca="false">IF(I453="","",IF(I453&gt;H453,"Delayed","On Time"))</f>
        <v>Delayed</v>
      </c>
      <c r="K453" s="37" t="n">
        <f aca="false">IF(J453="Delayed",I453-H453,"")</f>
        <v>1</v>
      </c>
    </row>
    <row r="454" customFormat="false" ht="15" hidden="false" customHeight="false" outlineLevel="0" collapsed="false">
      <c r="A454" s="35" t="s">
        <v>518</v>
      </c>
      <c r="B454" s="36" t="n">
        <v>46255</v>
      </c>
      <c r="C454" s="36" t="n">
        <v>46259</v>
      </c>
      <c r="D454" s="35" t="s">
        <v>46</v>
      </c>
      <c r="E454" s="35" t="s">
        <v>33</v>
      </c>
      <c r="F454" s="35" t="s">
        <v>15</v>
      </c>
      <c r="G454" s="35"/>
      <c r="H454" s="37" t="n">
        <f aca="false">IFERROR(VLOOKUP(D454,Settings!$A$5:$C$14,3,FALSE()),"")</f>
        <v>3</v>
      </c>
      <c r="I454" s="37" t="n">
        <f aca="false">IF(C454="","",C454-B454)</f>
        <v>4</v>
      </c>
      <c r="J454" s="38" t="str">
        <f aca="false">IF(I454="","",IF(I454&gt;H454,"Delayed","On Time"))</f>
        <v>Delayed</v>
      </c>
      <c r="K454" s="37" t="n">
        <f aca="false">IF(J454="Delayed",I454-H454,"")</f>
        <v>1</v>
      </c>
    </row>
    <row r="455" customFormat="false" ht="15" hidden="false" customHeight="false" outlineLevel="0" collapsed="false">
      <c r="A455" s="35" t="s">
        <v>519</v>
      </c>
      <c r="B455" s="36" t="n">
        <v>46255</v>
      </c>
      <c r="C455" s="36" t="n">
        <v>46260</v>
      </c>
      <c r="D455" s="35" t="s">
        <v>53</v>
      </c>
      <c r="E455" s="35" t="s">
        <v>33</v>
      </c>
      <c r="F455" s="35" t="s">
        <v>15</v>
      </c>
      <c r="G455" s="35"/>
      <c r="H455" s="37" t="n">
        <f aca="false">IFERROR(VLOOKUP(D455,Settings!$A$5:$C$14,3,FALSE()),"")</f>
        <v>5</v>
      </c>
      <c r="I455" s="37" t="n">
        <f aca="false">IF(C455="","",C455-B455)</f>
        <v>5</v>
      </c>
      <c r="J455" s="38" t="str">
        <f aca="false">IF(I455="","",IF(I455&gt;H455,"Delayed","On Time"))</f>
        <v>On Time</v>
      </c>
      <c r="K455" s="37" t="str">
        <f aca="false">IF(J455="Delayed",I455-H455,"")</f>
        <v/>
      </c>
    </row>
    <row r="456" customFormat="false" ht="15" hidden="false" customHeight="false" outlineLevel="0" collapsed="false">
      <c r="A456" s="35" t="s">
        <v>520</v>
      </c>
      <c r="B456" s="36" t="n">
        <v>46255</v>
      </c>
      <c r="C456" s="36"/>
      <c r="D456" s="35" t="s">
        <v>50</v>
      </c>
      <c r="E456" s="35" t="s">
        <v>34</v>
      </c>
      <c r="F456" s="35" t="s">
        <v>18</v>
      </c>
      <c r="G456" s="35" t="s">
        <v>47</v>
      </c>
      <c r="H456" s="37" t="n">
        <f aca="false">IFERROR(VLOOKUP(D456,Settings!$A$5:$C$14,3,FALSE()),"")</f>
        <v>3</v>
      </c>
      <c r="I456" s="37" t="str">
        <f aca="false">IF(C456="","",C456-B456)</f>
        <v/>
      </c>
      <c r="J456" s="38" t="str">
        <f aca="false">IF(I456="","",IF(I456&gt;H456,"Delayed","On Time"))</f>
        <v/>
      </c>
      <c r="K456" s="37" t="str">
        <f aca="false">IF(J456="Delayed",I456-H456,"")</f>
        <v/>
      </c>
    </row>
    <row r="457" customFormat="false" ht="15" hidden="false" customHeight="false" outlineLevel="0" collapsed="false">
      <c r="A457" s="35" t="s">
        <v>521</v>
      </c>
      <c r="B457" s="36" t="n">
        <v>46255</v>
      </c>
      <c r="C457" s="36" t="n">
        <v>46256</v>
      </c>
      <c r="D457" s="35" t="s">
        <v>46</v>
      </c>
      <c r="E457" s="35" t="s">
        <v>33</v>
      </c>
      <c r="F457" s="35" t="s">
        <v>15</v>
      </c>
      <c r="G457" s="35"/>
      <c r="H457" s="37" t="n">
        <f aca="false">IFERROR(VLOOKUP(D457,Settings!$A$5:$C$14,3,FALSE()),"")</f>
        <v>3</v>
      </c>
      <c r="I457" s="37" t="n">
        <f aca="false">IF(C457="","",C457-B457)</f>
        <v>1</v>
      </c>
      <c r="J457" s="38" t="str">
        <f aca="false">IF(I457="","",IF(I457&gt;H457,"Delayed","On Time"))</f>
        <v>On Time</v>
      </c>
      <c r="K457" s="37" t="str">
        <f aca="false">IF(J457="Delayed",I457-H457,"")</f>
        <v/>
      </c>
    </row>
    <row r="458" customFormat="false" ht="15" hidden="false" customHeight="false" outlineLevel="0" collapsed="false">
      <c r="A458" s="35" t="s">
        <v>522</v>
      </c>
      <c r="B458" s="36" t="n">
        <v>46255</v>
      </c>
      <c r="C458" s="36" t="n">
        <v>46259</v>
      </c>
      <c r="D458" s="35" t="s">
        <v>53</v>
      </c>
      <c r="E458" s="35" t="s">
        <v>33</v>
      </c>
      <c r="F458" s="35" t="s">
        <v>15</v>
      </c>
      <c r="G458" s="35"/>
      <c r="H458" s="37" t="n">
        <f aca="false">IFERROR(VLOOKUP(D458,Settings!$A$5:$C$14,3,FALSE()),"")</f>
        <v>5</v>
      </c>
      <c r="I458" s="37" t="n">
        <f aca="false">IF(C458="","",C458-B458)</f>
        <v>4</v>
      </c>
      <c r="J458" s="38" t="str">
        <f aca="false">IF(I458="","",IF(I458&gt;H458,"Delayed","On Time"))</f>
        <v>On Time</v>
      </c>
      <c r="K458" s="37" t="str">
        <f aca="false">IF(J458="Delayed",I458-H458,"")</f>
        <v/>
      </c>
    </row>
    <row r="459" customFormat="false" ht="15" hidden="false" customHeight="false" outlineLevel="0" collapsed="false">
      <c r="A459" s="35" t="s">
        <v>523</v>
      </c>
      <c r="B459" s="36" t="n">
        <v>46255</v>
      </c>
      <c r="C459" s="36" t="n">
        <v>46259</v>
      </c>
      <c r="D459" s="35" t="s">
        <v>50</v>
      </c>
      <c r="E459" s="35" t="s">
        <v>35</v>
      </c>
      <c r="F459" s="35" t="s">
        <v>15</v>
      </c>
      <c r="G459" s="35"/>
      <c r="H459" s="37" t="n">
        <f aca="false">IFERROR(VLOOKUP(D459,Settings!$A$5:$C$14,3,FALSE()),"")</f>
        <v>3</v>
      </c>
      <c r="I459" s="37" t="n">
        <f aca="false">IF(C459="","",C459-B459)</f>
        <v>4</v>
      </c>
      <c r="J459" s="38" t="str">
        <f aca="false">IF(I459="","",IF(I459&gt;H459,"Delayed","On Time"))</f>
        <v>Delayed</v>
      </c>
      <c r="K459" s="37" t="n">
        <f aca="false">IF(J459="Delayed",I459-H459,"")</f>
        <v>1</v>
      </c>
    </row>
    <row r="460" customFormat="false" ht="15" hidden="false" customHeight="false" outlineLevel="0" collapsed="false">
      <c r="A460" s="35" t="s">
        <v>524</v>
      </c>
      <c r="B460" s="36" t="n">
        <v>46255</v>
      </c>
      <c r="C460" s="36" t="n">
        <v>46256</v>
      </c>
      <c r="D460" s="35" t="s">
        <v>46</v>
      </c>
      <c r="E460" s="35" t="s">
        <v>36</v>
      </c>
      <c r="F460" s="35" t="s">
        <v>17</v>
      </c>
      <c r="G460" s="35" t="s">
        <v>51</v>
      </c>
      <c r="H460" s="37" t="n">
        <f aca="false">IFERROR(VLOOKUP(D460,Settings!$A$5:$C$14,3,FALSE()),"")</f>
        <v>3</v>
      </c>
      <c r="I460" s="37" t="n">
        <f aca="false">IF(C460="","",C460-B460)</f>
        <v>1</v>
      </c>
      <c r="J460" s="38" t="str">
        <f aca="false">IF(I460="","",IF(I460&gt;H460,"Delayed","On Time"))</f>
        <v>On Time</v>
      </c>
      <c r="K460" s="37" t="str">
        <f aca="false">IF(J460="Delayed",I460-H460,"")</f>
        <v/>
      </c>
    </row>
    <row r="461" customFormat="false" ht="15" hidden="false" customHeight="false" outlineLevel="0" collapsed="false">
      <c r="A461" s="35" t="s">
        <v>525</v>
      </c>
      <c r="B461" s="36" t="n">
        <v>46256</v>
      </c>
      <c r="C461" s="36" t="n">
        <v>46260</v>
      </c>
      <c r="D461" s="35" t="s">
        <v>50</v>
      </c>
      <c r="E461" s="35" t="s">
        <v>35</v>
      </c>
      <c r="F461" s="35" t="s">
        <v>15</v>
      </c>
      <c r="G461" s="35"/>
      <c r="H461" s="37" t="n">
        <f aca="false">IFERROR(VLOOKUP(D461,Settings!$A$5:$C$14,3,FALSE()),"")</f>
        <v>3</v>
      </c>
      <c r="I461" s="37" t="n">
        <f aca="false">IF(C461="","",C461-B461)</f>
        <v>4</v>
      </c>
      <c r="J461" s="38" t="str">
        <f aca="false">IF(I461="","",IF(I461&gt;H461,"Delayed","On Time"))</f>
        <v>Delayed</v>
      </c>
      <c r="K461" s="37" t="n">
        <f aca="false">IF(J461="Delayed",I461-H461,"")</f>
        <v>1</v>
      </c>
    </row>
    <row r="462" customFormat="false" ht="15" hidden="false" customHeight="false" outlineLevel="0" collapsed="false">
      <c r="A462" s="35" t="s">
        <v>526</v>
      </c>
      <c r="B462" s="36" t="n">
        <v>46256</v>
      </c>
      <c r="C462" s="36" t="n">
        <v>46259</v>
      </c>
      <c r="D462" s="35" t="s">
        <v>46</v>
      </c>
      <c r="E462" s="35" t="s">
        <v>36</v>
      </c>
      <c r="F462" s="35" t="s">
        <v>15</v>
      </c>
      <c r="G462" s="35"/>
      <c r="H462" s="37" t="n">
        <f aca="false">IFERROR(VLOOKUP(D462,Settings!$A$5:$C$14,3,FALSE()),"")</f>
        <v>3</v>
      </c>
      <c r="I462" s="37" t="n">
        <f aca="false">IF(C462="","",C462-B462)</f>
        <v>3</v>
      </c>
      <c r="J462" s="38" t="str">
        <f aca="false">IF(I462="","",IF(I462&gt;H462,"Delayed","On Time"))</f>
        <v>On Time</v>
      </c>
      <c r="K462" s="37" t="str">
        <f aca="false">IF(J462="Delayed",I462-H462,"")</f>
        <v/>
      </c>
    </row>
    <row r="463" customFormat="false" ht="15" hidden="false" customHeight="false" outlineLevel="0" collapsed="false">
      <c r="A463" s="35" t="s">
        <v>527</v>
      </c>
      <c r="B463" s="36" t="n">
        <v>46256</v>
      </c>
      <c r="C463" s="36" t="n">
        <v>46261</v>
      </c>
      <c r="D463" s="35" t="s">
        <v>50</v>
      </c>
      <c r="E463" s="35" t="s">
        <v>34</v>
      </c>
      <c r="F463" s="35" t="s">
        <v>15</v>
      </c>
      <c r="G463" s="35"/>
      <c r="H463" s="37" t="n">
        <f aca="false">IFERROR(VLOOKUP(D463,Settings!$A$5:$C$14,3,FALSE()),"")</f>
        <v>3</v>
      </c>
      <c r="I463" s="37" t="n">
        <f aca="false">IF(C463="","",C463-B463)</f>
        <v>5</v>
      </c>
      <c r="J463" s="38" t="str">
        <f aca="false">IF(I463="","",IF(I463&gt;H463,"Delayed","On Time"))</f>
        <v>Delayed</v>
      </c>
      <c r="K463" s="37" t="n">
        <f aca="false">IF(J463="Delayed",I463-H463,"")</f>
        <v>2</v>
      </c>
    </row>
    <row r="464" customFormat="false" ht="15" hidden="false" customHeight="false" outlineLevel="0" collapsed="false">
      <c r="A464" s="35" t="s">
        <v>528</v>
      </c>
      <c r="B464" s="36" t="n">
        <v>46256</v>
      </c>
      <c r="C464" s="36" t="n">
        <v>46261</v>
      </c>
      <c r="D464" s="35" t="s">
        <v>48</v>
      </c>
      <c r="E464" s="35" t="s">
        <v>34</v>
      </c>
      <c r="F464" s="35" t="s">
        <v>15</v>
      </c>
      <c r="G464" s="35"/>
      <c r="H464" s="37" t="n">
        <f aca="false">IFERROR(VLOOKUP(D464,Settings!$A$5:$C$14,3,FALSE()),"")</f>
        <v>3</v>
      </c>
      <c r="I464" s="37" t="n">
        <f aca="false">IF(C464="","",C464-B464)</f>
        <v>5</v>
      </c>
      <c r="J464" s="38" t="str">
        <f aca="false">IF(I464="","",IF(I464&gt;H464,"Delayed","On Time"))</f>
        <v>Delayed</v>
      </c>
      <c r="K464" s="37" t="n">
        <f aca="false">IF(J464="Delayed",I464-H464,"")</f>
        <v>2</v>
      </c>
    </row>
    <row r="465" customFormat="false" ht="15" hidden="false" customHeight="false" outlineLevel="0" collapsed="false">
      <c r="A465" s="35" t="s">
        <v>529</v>
      </c>
      <c r="B465" s="36" t="n">
        <v>46256</v>
      </c>
      <c r="C465" s="36" t="n">
        <v>46260</v>
      </c>
      <c r="D465" s="35" t="s">
        <v>48</v>
      </c>
      <c r="E465" s="35" t="s">
        <v>35</v>
      </c>
      <c r="F465" s="35" t="s">
        <v>15</v>
      </c>
      <c r="G465" s="35"/>
      <c r="H465" s="37" t="n">
        <f aca="false">IFERROR(VLOOKUP(D465,Settings!$A$5:$C$14,3,FALSE()),"")</f>
        <v>3</v>
      </c>
      <c r="I465" s="37" t="n">
        <f aca="false">IF(C465="","",C465-B465)</f>
        <v>4</v>
      </c>
      <c r="J465" s="38" t="str">
        <f aca="false">IF(I465="","",IF(I465&gt;H465,"Delayed","On Time"))</f>
        <v>Delayed</v>
      </c>
      <c r="K465" s="37" t="n">
        <f aca="false">IF(J465="Delayed",I465-H465,"")</f>
        <v>1</v>
      </c>
    </row>
    <row r="466" customFormat="false" ht="15" hidden="false" customHeight="false" outlineLevel="0" collapsed="false">
      <c r="A466" s="35" t="s">
        <v>530</v>
      </c>
      <c r="B466" s="36" t="n">
        <v>46256</v>
      </c>
      <c r="C466" s="36"/>
      <c r="D466" s="35" t="s">
        <v>52</v>
      </c>
      <c r="E466" s="35" t="s">
        <v>33</v>
      </c>
      <c r="F466" s="35" t="s">
        <v>18</v>
      </c>
      <c r="G466" s="35" t="s">
        <v>49</v>
      </c>
      <c r="H466" s="37" t="n">
        <f aca="false">IFERROR(VLOOKUP(D466,Settings!$A$5:$C$14,3,FALSE()),"")</f>
        <v>4</v>
      </c>
      <c r="I466" s="37" t="str">
        <f aca="false">IF(C466="","",C466-B466)</f>
        <v/>
      </c>
      <c r="J466" s="38" t="str">
        <f aca="false">IF(I466="","",IF(I466&gt;H466,"Delayed","On Time"))</f>
        <v/>
      </c>
      <c r="K466" s="37" t="str">
        <f aca="false">IF(J466="Delayed",I466-H466,"")</f>
        <v/>
      </c>
    </row>
    <row r="467" customFormat="false" ht="15" hidden="false" customHeight="false" outlineLevel="0" collapsed="false">
      <c r="A467" s="35" t="s">
        <v>531</v>
      </c>
      <c r="B467" s="36" t="n">
        <v>46256</v>
      </c>
      <c r="C467" s="36" t="n">
        <v>46262</v>
      </c>
      <c r="D467" s="35" t="s">
        <v>53</v>
      </c>
      <c r="E467" s="35" t="s">
        <v>34</v>
      </c>
      <c r="F467" s="35" t="s">
        <v>15</v>
      </c>
      <c r="G467" s="35"/>
      <c r="H467" s="37" t="n">
        <f aca="false">IFERROR(VLOOKUP(D467,Settings!$A$5:$C$14,3,FALSE()),"")</f>
        <v>5</v>
      </c>
      <c r="I467" s="37" t="n">
        <f aca="false">IF(C467="","",C467-B467)</f>
        <v>6</v>
      </c>
      <c r="J467" s="38" t="str">
        <f aca="false">IF(I467="","",IF(I467&gt;H467,"Delayed","On Time"))</f>
        <v>Delayed</v>
      </c>
      <c r="K467" s="37" t="n">
        <f aca="false">IF(J467="Delayed",I467-H467,"")</f>
        <v>1</v>
      </c>
    </row>
    <row r="468" customFormat="false" ht="15" hidden="false" customHeight="false" outlineLevel="0" collapsed="false">
      <c r="A468" s="35" t="s">
        <v>532</v>
      </c>
      <c r="B468" s="36" t="n">
        <v>46256</v>
      </c>
      <c r="C468" s="36" t="n">
        <v>46260</v>
      </c>
      <c r="D468" s="35" t="s">
        <v>50</v>
      </c>
      <c r="E468" s="35" t="s">
        <v>36</v>
      </c>
      <c r="F468" s="35" t="s">
        <v>15</v>
      </c>
      <c r="G468" s="35"/>
      <c r="H468" s="37" t="n">
        <f aca="false">IFERROR(VLOOKUP(D468,Settings!$A$5:$C$14,3,FALSE()),"")</f>
        <v>3</v>
      </c>
      <c r="I468" s="37" t="n">
        <f aca="false">IF(C468="","",C468-B468)</f>
        <v>4</v>
      </c>
      <c r="J468" s="38" t="str">
        <f aca="false">IF(I468="","",IF(I468&gt;H468,"Delayed","On Time"))</f>
        <v>Delayed</v>
      </c>
      <c r="K468" s="37" t="n">
        <f aca="false">IF(J468="Delayed",I468-H468,"")</f>
        <v>1</v>
      </c>
    </row>
    <row r="469" customFormat="false" ht="15" hidden="false" customHeight="false" outlineLevel="0" collapsed="false">
      <c r="A469" s="35" t="s">
        <v>533</v>
      </c>
      <c r="B469" s="36" t="n">
        <v>46256</v>
      </c>
      <c r="C469" s="36" t="n">
        <v>46261</v>
      </c>
      <c r="D469" s="35" t="s">
        <v>46</v>
      </c>
      <c r="E469" s="35" t="s">
        <v>34</v>
      </c>
      <c r="F469" s="35" t="s">
        <v>15</v>
      </c>
      <c r="G469" s="35"/>
      <c r="H469" s="37" t="n">
        <f aca="false">IFERROR(VLOOKUP(D469,Settings!$A$5:$C$14,3,FALSE()),"")</f>
        <v>3</v>
      </c>
      <c r="I469" s="37" t="n">
        <f aca="false">IF(C469="","",C469-B469)</f>
        <v>5</v>
      </c>
      <c r="J469" s="38" t="str">
        <f aca="false">IF(I469="","",IF(I469&gt;H469,"Delayed","On Time"))</f>
        <v>Delayed</v>
      </c>
      <c r="K469" s="37" t="n">
        <f aca="false">IF(J469="Delayed",I469-H469,"")</f>
        <v>2</v>
      </c>
    </row>
    <row r="470" customFormat="false" ht="15" hidden="false" customHeight="false" outlineLevel="0" collapsed="false">
      <c r="A470" s="35" t="s">
        <v>534</v>
      </c>
      <c r="B470" s="36" t="n">
        <v>46256</v>
      </c>
      <c r="C470" s="36" t="n">
        <v>46261</v>
      </c>
      <c r="D470" s="35" t="s">
        <v>48</v>
      </c>
      <c r="E470" s="35" t="s">
        <v>35</v>
      </c>
      <c r="F470" s="35" t="s">
        <v>17</v>
      </c>
      <c r="G470" s="35" t="s">
        <v>51</v>
      </c>
      <c r="H470" s="37" t="n">
        <f aca="false">IFERROR(VLOOKUP(D470,Settings!$A$5:$C$14,3,FALSE()),"")</f>
        <v>3</v>
      </c>
      <c r="I470" s="37" t="n">
        <f aca="false">IF(C470="","",C470-B470)</f>
        <v>5</v>
      </c>
      <c r="J470" s="38" t="str">
        <f aca="false">IF(I470="","",IF(I470&gt;H470,"Delayed","On Time"))</f>
        <v>Delayed</v>
      </c>
      <c r="K470" s="37" t="n">
        <f aca="false">IF(J470="Delayed",I470-H470,"")</f>
        <v>2</v>
      </c>
    </row>
    <row r="471" customFormat="false" ht="15" hidden="false" customHeight="false" outlineLevel="0" collapsed="false">
      <c r="A471" s="35" t="s">
        <v>535</v>
      </c>
      <c r="B471" s="36" t="n">
        <v>46256</v>
      </c>
      <c r="C471" s="36" t="n">
        <v>46259</v>
      </c>
      <c r="D471" s="35" t="s">
        <v>50</v>
      </c>
      <c r="E471" s="35" t="s">
        <v>33</v>
      </c>
      <c r="F471" s="35" t="s">
        <v>15</v>
      </c>
      <c r="G471" s="35"/>
      <c r="H471" s="37" t="n">
        <f aca="false">IFERROR(VLOOKUP(D471,Settings!$A$5:$C$14,3,FALSE()),"")</f>
        <v>3</v>
      </c>
      <c r="I471" s="37" t="n">
        <f aca="false">IF(C471="","",C471-B471)</f>
        <v>3</v>
      </c>
      <c r="J471" s="38" t="str">
        <f aca="false">IF(I471="","",IF(I471&gt;H471,"Delayed","On Time"))</f>
        <v>On Time</v>
      </c>
      <c r="K471" s="37" t="str">
        <f aca="false">IF(J471="Delayed",I471-H471,"")</f>
        <v/>
      </c>
    </row>
    <row r="472" customFormat="false" ht="15" hidden="false" customHeight="false" outlineLevel="0" collapsed="false">
      <c r="A472" s="35" t="s">
        <v>536</v>
      </c>
      <c r="B472" s="36" t="n">
        <v>46257</v>
      </c>
      <c r="C472" s="36" t="n">
        <v>46259</v>
      </c>
      <c r="D472" s="35" t="s">
        <v>48</v>
      </c>
      <c r="E472" s="35" t="s">
        <v>36</v>
      </c>
      <c r="F472" s="35" t="s">
        <v>15</v>
      </c>
      <c r="G472" s="35"/>
      <c r="H472" s="37" t="n">
        <f aca="false">IFERROR(VLOOKUP(D472,Settings!$A$5:$C$14,3,FALSE()),"")</f>
        <v>3</v>
      </c>
      <c r="I472" s="37" t="n">
        <f aca="false">IF(C472="","",C472-B472)</f>
        <v>2</v>
      </c>
      <c r="J472" s="38" t="str">
        <f aca="false">IF(I472="","",IF(I472&gt;H472,"Delayed","On Time"))</f>
        <v>On Time</v>
      </c>
      <c r="K472" s="37" t="str">
        <f aca="false">IF(J472="Delayed",I472-H472,"")</f>
        <v/>
      </c>
    </row>
    <row r="473" customFormat="false" ht="15" hidden="false" customHeight="false" outlineLevel="0" collapsed="false">
      <c r="A473" s="35" t="s">
        <v>537</v>
      </c>
      <c r="B473" s="36" t="n">
        <v>46257</v>
      </c>
      <c r="C473" s="36" t="n">
        <v>46259</v>
      </c>
      <c r="D473" s="35" t="s">
        <v>50</v>
      </c>
      <c r="E473" s="35" t="s">
        <v>35</v>
      </c>
      <c r="F473" s="35" t="s">
        <v>15</v>
      </c>
      <c r="G473" s="35"/>
      <c r="H473" s="37" t="n">
        <f aca="false">IFERROR(VLOOKUP(D473,Settings!$A$5:$C$14,3,FALSE()),"")</f>
        <v>3</v>
      </c>
      <c r="I473" s="37" t="n">
        <f aca="false">IF(C473="","",C473-B473)</f>
        <v>2</v>
      </c>
      <c r="J473" s="38" t="str">
        <f aca="false">IF(I473="","",IF(I473&gt;H473,"Delayed","On Time"))</f>
        <v>On Time</v>
      </c>
      <c r="K473" s="37" t="str">
        <f aca="false">IF(J473="Delayed",I473-H473,"")</f>
        <v/>
      </c>
    </row>
    <row r="474" customFormat="false" ht="15" hidden="false" customHeight="false" outlineLevel="0" collapsed="false">
      <c r="A474" s="35" t="s">
        <v>538</v>
      </c>
      <c r="B474" s="36" t="n">
        <v>46257</v>
      </c>
      <c r="C474" s="36"/>
      <c r="D474" s="35" t="s">
        <v>46</v>
      </c>
      <c r="E474" s="35" t="s">
        <v>36</v>
      </c>
      <c r="F474" s="35" t="s">
        <v>18</v>
      </c>
      <c r="G474" s="35" t="s">
        <v>49</v>
      </c>
      <c r="H474" s="37" t="n">
        <f aca="false">IFERROR(VLOOKUP(D474,Settings!$A$5:$C$14,3,FALSE()),"")</f>
        <v>3</v>
      </c>
      <c r="I474" s="37" t="str">
        <f aca="false">IF(C474="","",C474-B474)</f>
        <v/>
      </c>
      <c r="J474" s="38" t="str">
        <f aca="false">IF(I474="","",IF(I474&gt;H474,"Delayed","On Time"))</f>
        <v/>
      </c>
      <c r="K474" s="37" t="str">
        <f aca="false">IF(J474="Delayed",I474-H474,"")</f>
        <v/>
      </c>
    </row>
    <row r="475" customFormat="false" ht="15" hidden="false" customHeight="false" outlineLevel="0" collapsed="false">
      <c r="A475" s="35" t="s">
        <v>539</v>
      </c>
      <c r="B475" s="36" t="n">
        <v>46257</v>
      </c>
      <c r="C475" s="36" t="n">
        <v>46260</v>
      </c>
      <c r="D475" s="35" t="s">
        <v>46</v>
      </c>
      <c r="E475" s="35" t="s">
        <v>34</v>
      </c>
      <c r="F475" s="35" t="s">
        <v>15</v>
      </c>
      <c r="G475" s="35"/>
      <c r="H475" s="37" t="n">
        <f aca="false">IFERROR(VLOOKUP(D475,Settings!$A$5:$C$14,3,FALSE()),"")</f>
        <v>3</v>
      </c>
      <c r="I475" s="37" t="n">
        <f aca="false">IF(C475="","",C475-B475)</f>
        <v>3</v>
      </c>
      <c r="J475" s="38" t="str">
        <f aca="false">IF(I475="","",IF(I475&gt;H475,"Delayed","On Time"))</f>
        <v>On Time</v>
      </c>
      <c r="K475" s="37" t="str">
        <f aca="false">IF(J475="Delayed",I475-H475,"")</f>
        <v/>
      </c>
    </row>
    <row r="476" customFormat="false" ht="15" hidden="false" customHeight="false" outlineLevel="0" collapsed="false">
      <c r="A476" s="35" t="s">
        <v>540</v>
      </c>
      <c r="B476" s="36" t="n">
        <v>46258</v>
      </c>
      <c r="C476" s="36" t="n">
        <v>46261</v>
      </c>
      <c r="D476" s="35" t="s">
        <v>54</v>
      </c>
      <c r="E476" s="35" t="s">
        <v>33</v>
      </c>
      <c r="F476" s="35" t="s">
        <v>15</v>
      </c>
      <c r="G476" s="35"/>
      <c r="H476" s="37" t="n">
        <f aca="false">IFERROR(VLOOKUP(D476,Settings!$A$5:$C$14,3,FALSE()),"")</f>
        <v>5</v>
      </c>
      <c r="I476" s="37" t="n">
        <f aca="false">IF(C476="","",C476-B476)</f>
        <v>3</v>
      </c>
      <c r="J476" s="38" t="str">
        <f aca="false">IF(I476="","",IF(I476&gt;H476,"Delayed","On Time"))</f>
        <v>On Time</v>
      </c>
      <c r="K476" s="37" t="str">
        <f aca="false">IF(J476="Delayed",I476-H476,"")</f>
        <v/>
      </c>
    </row>
    <row r="477" customFormat="false" ht="15" hidden="false" customHeight="false" outlineLevel="0" collapsed="false">
      <c r="A477" s="35" t="s">
        <v>541</v>
      </c>
      <c r="B477" s="36" t="n">
        <v>46258</v>
      </c>
      <c r="C477" s="36" t="n">
        <v>46262</v>
      </c>
      <c r="D477" s="35" t="s">
        <v>44</v>
      </c>
      <c r="E477" s="35" t="s">
        <v>36</v>
      </c>
      <c r="F477" s="35" t="s">
        <v>15</v>
      </c>
      <c r="G477" s="35"/>
      <c r="H477" s="37" t="n">
        <f aca="false">IFERROR(VLOOKUP(D477,Settings!$A$5:$C$14,3,FALSE()),"")</f>
        <v>3</v>
      </c>
      <c r="I477" s="37" t="n">
        <f aca="false">IF(C477="","",C477-B477)</f>
        <v>4</v>
      </c>
      <c r="J477" s="38" t="str">
        <f aca="false">IF(I477="","",IF(I477&gt;H477,"Delayed","On Time"))</f>
        <v>Delayed</v>
      </c>
      <c r="K477" s="37" t="n">
        <f aca="false">IF(J477="Delayed",I477-H477,"")</f>
        <v>1</v>
      </c>
    </row>
    <row r="478" customFormat="false" ht="15" hidden="false" customHeight="false" outlineLevel="0" collapsed="false">
      <c r="A478" s="35" t="s">
        <v>542</v>
      </c>
      <c r="B478" s="36" t="n">
        <v>46258</v>
      </c>
      <c r="C478" s="36" t="n">
        <v>46264</v>
      </c>
      <c r="D478" s="35" t="s">
        <v>54</v>
      </c>
      <c r="E478" s="35" t="s">
        <v>33</v>
      </c>
      <c r="F478" s="35" t="s">
        <v>15</v>
      </c>
      <c r="G478" s="35"/>
      <c r="H478" s="37" t="n">
        <f aca="false">IFERROR(VLOOKUP(D478,Settings!$A$5:$C$14,3,FALSE()),"")</f>
        <v>5</v>
      </c>
      <c r="I478" s="37" t="n">
        <f aca="false">IF(C478="","",C478-B478)</f>
        <v>6</v>
      </c>
      <c r="J478" s="38" t="str">
        <f aca="false">IF(I478="","",IF(I478&gt;H478,"Delayed","On Time"))</f>
        <v>Delayed</v>
      </c>
      <c r="K478" s="37" t="n">
        <f aca="false">IF(J478="Delayed",I478-H478,"")</f>
        <v>1</v>
      </c>
    </row>
    <row r="479" customFormat="false" ht="15" hidden="false" customHeight="false" outlineLevel="0" collapsed="false">
      <c r="A479" s="35" t="s">
        <v>543</v>
      </c>
      <c r="B479" s="36" t="n">
        <v>46258</v>
      </c>
      <c r="C479" s="36" t="n">
        <v>46263</v>
      </c>
      <c r="D479" s="35" t="s">
        <v>52</v>
      </c>
      <c r="E479" s="35" t="s">
        <v>33</v>
      </c>
      <c r="F479" s="35" t="s">
        <v>15</v>
      </c>
      <c r="G479" s="35"/>
      <c r="H479" s="37" t="n">
        <f aca="false">IFERROR(VLOOKUP(D479,Settings!$A$5:$C$14,3,FALSE()),"")</f>
        <v>4</v>
      </c>
      <c r="I479" s="37" t="n">
        <f aca="false">IF(C479="","",C479-B479)</f>
        <v>5</v>
      </c>
      <c r="J479" s="38" t="str">
        <f aca="false">IF(I479="","",IF(I479&gt;H479,"Delayed","On Time"))</f>
        <v>Delayed</v>
      </c>
      <c r="K479" s="37" t="n">
        <f aca="false">IF(J479="Delayed",I479-H479,"")</f>
        <v>1</v>
      </c>
    </row>
    <row r="480" customFormat="false" ht="15" hidden="false" customHeight="false" outlineLevel="0" collapsed="false">
      <c r="A480" s="35" t="s">
        <v>544</v>
      </c>
      <c r="B480" s="36" t="n">
        <v>46258</v>
      </c>
      <c r="C480" s="36" t="n">
        <v>46263</v>
      </c>
      <c r="D480" s="35" t="s">
        <v>50</v>
      </c>
      <c r="E480" s="35" t="s">
        <v>35</v>
      </c>
      <c r="F480" s="35" t="s">
        <v>15</v>
      </c>
      <c r="G480" s="35"/>
      <c r="H480" s="37" t="n">
        <f aca="false">IFERROR(VLOOKUP(D480,Settings!$A$5:$C$14,3,FALSE()),"")</f>
        <v>3</v>
      </c>
      <c r="I480" s="37" t="n">
        <f aca="false">IF(C480="","",C480-B480)</f>
        <v>5</v>
      </c>
      <c r="J480" s="38" t="str">
        <f aca="false">IF(I480="","",IF(I480&gt;H480,"Delayed","On Time"))</f>
        <v>Delayed</v>
      </c>
      <c r="K480" s="37" t="n">
        <f aca="false">IF(J480="Delayed",I480-H480,"")</f>
        <v>2</v>
      </c>
    </row>
    <row r="481" customFormat="false" ht="15" hidden="false" customHeight="false" outlineLevel="0" collapsed="false">
      <c r="A481" s="35" t="s">
        <v>545</v>
      </c>
      <c r="B481" s="36" t="n">
        <v>46258</v>
      </c>
      <c r="C481" s="36" t="n">
        <v>46260</v>
      </c>
      <c r="D481" s="35" t="s">
        <v>44</v>
      </c>
      <c r="E481" s="35" t="s">
        <v>34</v>
      </c>
      <c r="F481" s="35" t="s">
        <v>15</v>
      </c>
      <c r="G481" s="35"/>
      <c r="H481" s="37" t="n">
        <f aca="false">IFERROR(VLOOKUP(D481,Settings!$A$5:$C$14,3,FALSE()),"")</f>
        <v>3</v>
      </c>
      <c r="I481" s="37" t="n">
        <f aca="false">IF(C481="","",C481-B481)</f>
        <v>2</v>
      </c>
      <c r="J481" s="38" t="str">
        <f aca="false">IF(I481="","",IF(I481&gt;H481,"Delayed","On Time"))</f>
        <v>On Time</v>
      </c>
      <c r="K481" s="37" t="str">
        <f aca="false">IF(J481="Delayed",I481-H481,"")</f>
        <v/>
      </c>
    </row>
    <row r="482" customFormat="false" ht="15" hidden="false" customHeight="false" outlineLevel="0" collapsed="false">
      <c r="A482" s="35" t="s">
        <v>546</v>
      </c>
      <c r="B482" s="36" t="n">
        <v>46258</v>
      </c>
      <c r="C482" s="36" t="n">
        <v>46261</v>
      </c>
      <c r="D482" s="35" t="s">
        <v>46</v>
      </c>
      <c r="E482" s="35" t="s">
        <v>33</v>
      </c>
      <c r="F482" s="35" t="s">
        <v>15</v>
      </c>
      <c r="G482" s="35"/>
      <c r="H482" s="37" t="n">
        <f aca="false">IFERROR(VLOOKUP(D482,Settings!$A$5:$C$14,3,FALSE()),"")</f>
        <v>3</v>
      </c>
      <c r="I482" s="37" t="n">
        <f aca="false">IF(C482="","",C482-B482)</f>
        <v>3</v>
      </c>
      <c r="J482" s="38" t="str">
        <f aca="false">IF(I482="","",IF(I482&gt;H482,"Delayed","On Time"))</f>
        <v>On Time</v>
      </c>
      <c r="K482" s="37" t="str">
        <f aca="false">IF(J482="Delayed",I482-H482,"")</f>
        <v/>
      </c>
    </row>
    <row r="483" customFormat="false" ht="15" hidden="false" customHeight="false" outlineLevel="0" collapsed="false">
      <c r="A483" s="35" t="s">
        <v>547</v>
      </c>
      <c r="B483" s="36" t="n">
        <v>46258</v>
      </c>
      <c r="C483" s="36" t="n">
        <v>46262</v>
      </c>
      <c r="D483" s="35" t="s">
        <v>48</v>
      </c>
      <c r="E483" s="35" t="s">
        <v>35</v>
      </c>
      <c r="F483" s="35" t="s">
        <v>15</v>
      </c>
      <c r="G483" s="35"/>
      <c r="H483" s="37" t="n">
        <f aca="false">IFERROR(VLOOKUP(D483,Settings!$A$5:$C$14,3,FALSE()),"")</f>
        <v>3</v>
      </c>
      <c r="I483" s="37" t="n">
        <f aca="false">IF(C483="","",C483-B483)</f>
        <v>4</v>
      </c>
      <c r="J483" s="38" t="str">
        <f aca="false">IF(I483="","",IF(I483&gt;H483,"Delayed","On Time"))</f>
        <v>Delayed</v>
      </c>
      <c r="K483" s="37" t="n">
        <f aca="false">IF(J483="Delayed",I483-H483,"")</f>
        <v>1</v>
      </c>
    </row>
    <row r="484" customFormat="false" ht="15" hidden="false" customHeight="false" outlineLevel="0" collapsed="false">
      <c r="A484" s="35" t="s">
        <v>548</v>
      </c>
      <c r="B484" s="36" t="n">
        <v>46259</v>
      </c>
      <c r="C484" s="36"/>
      <c r="D484" s="35" t="s">
        <v>54</v>
      </c>
      <c r="E484" s="35" t="s">
        <v>35</v>
      </c>
      <c r="F484" s="35" t="s">
        <v>18</v>
      </c>
      <c r="G484" s="35" t="s">
        <v>47</v>
      </c>
      <c r="H484" s="37" t="n">
        <f aca="false">IFERROR(VLOOKUP(D484,Settings!$A$5:$C$14,3,FALSE()),"")</f>
        <v>5</v>
      </c>
      <c r="I484" s="37" t="str">
        <f aca="false">IF(C484="","",C484-B484)</f>
        <v/>
      </c>
      <c r="J484" s="38" t="str">
        <f aca="false">IF(I484="","",IF(I484&gt;H484,"Delayed","On Time"))</f>
        <v/>
      </c>
      <c r="K484" s="37" t="str">
        <f aca="false">IF(J484="Delayed",I484-H484,"")</f>
        <v/>
      </c>
    </row>
    <row r="485" customFormat="false" ht="15" hidden="false" customHeight="false" outlineLevel="0" collapsed="false">
      <c r="A485" s="35" t="s">
        <v>549</v>
      </c>
      <c r="B485" s="36" t="n">
        <v>46259</v>
      </c>
      <c r="C485" s="36" t="n">
        <v>46265</v>
      </c>
      <c r="D485" s="35" t="s">
        <v>52</v>
      </c>
      <c r="E485" s="35" t="s">
        <v>36</v>
      </c>
      <c r="F485" s="35" t="s">
        <v>15</v>
      </c>
      <c r="G485" s="35"/>
      <c r="H485" s="37" t="n">
        <f aca="false">IFERROR(VLOOKUP(D485,Settings!$A$5:$C$14,3,FALSE()),"")</f>
        <v>4</v>
      </c>
      <c r="I485" s="37" t="n">
        <f aca="false">IF(C485="","",C485-B485)</f>
        <v>6</v>
      </c>
      <c r="J485" s="38" t="str">
        <f aca="false">IF(I485="","",IF(I485&gt;H485,"Delayed","On Time"))</f>
        <v>Delayed</v>
      </c>
      <c r="K485" s="37" t="n">
        <f aca="false">IF(J485="Delayed",I485-H485,"")</f>
        <v>2</v>
      </c>
    </row>
    <row r="486" customFormat="false" ht="15" hidden="false" customHeight="false" outlineLevel="0" collapsed="false">
      <c r="A486" s="35" t="s">
        <v>550</v>
      </c>
      <c r="B486" s="36" t="n">
        <v>46259</v>
      </c>
      <c r="C486" s="36" t="n">
        <v>46262</v>
      </c>
      <c r="D486" s="35" t="s">
        <v>50</v>
      </c>
      <c r="E486" s="35" t="s">
        <v>35</v>
      </c>
      <c r="F486" s="35" t="s">
        <v>15</v>
      </c>
      <c r="G486" s="35"/>
      <c r="H486" s="37" t="n">
        <f aca="false">IFERROR(VLOOKUP(D486,Settings!$A$5:$C$14,3,FALSE()),"")</f>
        <v>3</v>
      </c>
      <c r="I486" s="37" t="n">
        <f aca="false">IF(C486="","",C486-B486)</f>
        <v>3</v>
      </c>
      <c r="J486" s="38" t="str">
        <f aca="false">IF(I486="","",IF(I486&gt;H486,"Delayed","On Time"))</f>
        <v>On Time</v>
      </c>
      <c r="K486" s="37" t="str">
        <f aca="false">IF(J486="Delayed",I486-H486,"")</f>
        <v/>
      </c>
    </row>
    <row r="487" customFormat="false" ht="15" hidden="false" customHeight="false" outlineLevel="0" collapsed="false">
      <c r="A487" s="35" t="s">
        <v>551</v>
      </c>
      <c r="B487" s="36" t="n">
        <v>46259</v>
      </c>
      <c r="C487" s="36" t="n">
        <v>46261</v>
      </c>
      <c r="D487" s="35" t="s">
        <v>48</v>
      </c>
      <c r="E487" s="35" t="s">
        <v>36</v>
      </c>
      <c r="F487" s="35" t="s">
        <v>15</v>
      </c>
      <c r="G487" s="35"/>
      <c r="H487" s="37" t="n">
        <f aca="false">IFERROR(VLOOKUP(D487,Settings!$A$5:$C$14,3,FALSE()),"")</f>
        <v>3</v>
      </c>
      <c r="I487" s="37" t="n">
        <f aca="false">IF(C487="","",C487-B487)</f>
        <v>2</v>
      </c>
      <c r="J487" s="38" t="str">
        <f aca="false">IF(I487="","",IF(I487&gt;H487,"Delayed","On Time"))</f>
        <v>On Time</v>
      </c>
      <c r="K487" s="37" t="str">
        <f aca="false">IF(J487="Delayed",I487-H487,"")</f>
        <v/>
      </c>
    </row>
    <row r="488" customFormat="false" ht="15" hidden="false" customHeight="false" outlineLevel="0" collapsed="false">
      <c r="A488" s="35" t="s">
        <v>552</v>
      </c>
      <c r="B488" s="36" t="n">
        <v>46259</v>
      </c>
      <c r="C488" s="36" t="n">
        <v>46264</v>
      </c>
      <c r="D488" s="35" t="s">
        <v>44</v>
      </c>
      <c r="E488" s="35" t="s">
        <v>33</v>
      </c>
      <c r="F488" s="35" t="s">
        <v>15</v>
      </c>
      <c r="G488" s="35"/>
      <c r="H488" s="37" t="n">
        <f aca="false">IFERROR(VLOOKUP(D488,Settings!$A$5:$C$14,3,FALSE()),"")</f>
        <v>3</v>
      </c>
      <c r="I488" s="37" t="n">
        <f aca="false">IF(C488="","",C488-B488)</f>
        <v>5</v>
      </c>
      <c r="J488" s="38" t="str">
        <f aca="false">IF(I488="","",IF(I488&gt;H488,"Delayed","On Time"))</f>
        <v>Delayed</v>
      </c>
      <c r="K488" s="37" t="n">
        <f aca="false">IF(J488="Delayed",I488-H488,"")</f>
        <v>2</v>
      </c>
    </row>
    <row r="489" customFormat="false" ht="15" hidden="false" customHeight="false" outlineLevel="0" collapsed="false">
      <c r="A489" s="35" t="s">
        <v>553</v>
      </c>
      <c r="B489" s="36" t="n">
        <v>46259</v>
      </c>
      <c r="C489" s="36" t="n">
        <v>46262</v>
      </c>
      <c r="D489" s="35" t="s">
        <v>48</v>
      </c>
      <c r="E489" s="35" t="s">
        <v>34</v>
      </c>
      <c r="F489" s="35" t="s">
        <v>15</v>
      </c>
      <c r="G489" s="35"/>
      <c r="H489" s="37" t="n">
        <f aca="false">IFERROR(VLOOKUP(D489,Settings!$A$5:$C$14,3,FALSE()),"")</f>
        <v>3</v>
      </c>
      <c r="I489" s="37" t="n">
        <f aca="false">IF(C489="","",C489-B489)</f>
        <v>3</v>
      </c>
      <c r="J489" s="38" t="str">
        <f aca="false">IF(I489="","",IF(I489&gt;H489,"Delayed","On Time"))</f>
        <v>On Time</v>
      </c>
      <c r="K489" s="37" t="str">
        <f aca="false">IF(J489="Delayed",I489-H489,"")</f>
        <v/>
      </c>
    </row>
    <row r="490" customFormat="false" ht="15" hidden="false" customHeight="false" outlineLevel="0" collapsed="false">
      <c r="A490" s="35" t="s">
        <v>554</v>
      </c>
      <c r="B490" s="36" t="n">
        <v>46260</v>
      </c>
      <c r="C490" s="36" t="n">
        <v>46262</v>
      </c>
      <c r="D490" s="35" t="s">
        <v>46</v>
      </c>
      <c r="E490" s="35" t="s">
        <v>33</v>
      </c>
      <c r="F490" s="35" t="s">
        <v>15</v>
      </c>
      <c r="G490" s="35"/>
      <c r="H490" s="37" t="n">
        <f aca="false">IFERROR(VLOOKUP(D490,Settings!$A$5:$C$14,3,FALSE()),"")</f>
        <v>3</v>
      </c>
      <c r="I490" s="37" t="n">
        <f aca="false">IF(C490="","",C490-B490)</f>
        <v>2</v>
      </c>
      <c r="J490" s="38" t="str">
        <f aca="false">IF(I490="","",IF(I490&gt;H490,"Delayed","On Time"))</f>
        <v>On Time</v>
      </c>
      <c r="K490" s="37" t="str">
        <f aca="false">IF(J490="Delayed",I490-H490,"")</f>
        <v/>
      </c>
    </row>
    <row r="491" customFormat="false" ht="15" hidden="false" customHeight="false" outlineLevel="0" collapsed="false">
      <c r="A491" s="35" t="s">
        <v>555</v>
      </c>
      <c r="B491" s="36" t="n">
        <v>46260</v>
      </c>
      <c r="C491" s="36" t="n">
        <v>46262</v>
      </c>
      <c r="D491" s="35" t="s">
        <v>50</v>
      </c>
      <c r="E491" s="35" t="s">
        <v>33</v>
      </c>
      <c r="F491" s="35" t="s">
        <v>15</v>
      </c>
      <c r="G491" s="35"/>
      <c r="H491" s="37" t="n">
        <f aca="false">IFERROR(VLOOKUP(D491,Settings!$A$5:$C$14,3,FALSE()),"")</f>
        <v>3</v>
      </c>
      <c r="I491" s="37" t="n">
        <f aca="false">IF(C491="","",C491-B491)</f>
        <v>2</v>
      </c>
      <c r="J491" s="38" t="str">
        <f aca="false">IF(I491="","",IF(I491&gt;H491,"Delayed","On Time"))</f>
        <v>On Time</v>
      </c>
      <c r="K491" s="37" t="str">
        <f aca="false">IF(J491="Delayed",I491-H491,"")</f>
        <v/>
      </c>
    </row>
    <row r="492" customFormat="false" ht="15" hidden="false" customHeight="false" outlineLevel="0" collapsed="false">
      <c r="A492" s="35" t="s">
        <v>556</v>
      </c>
      <c r="B492" s="36" t="n">
        <v>46260</v>
      </c>
      <c r="C492" s="36" t="n">
        <v>46261</v>
      </c>
      <c r="D492" s="35" t="s">
        <v>46</v>
      </c>
      <c r="E492" s="35" t="s">
        <v>34</v>
      </c>
      <c r="F492" s="35" t="s">
        <v>17</v>
      </c>
      <c r="G492" s="35" t="s">
        <v>51</v>
      </c>
      <c r="H492" s="37" t="n">
        <f aca="false">IFERROR(VLOOKUP(D492,Settings!$A$5:$C$14,3,FALSE()),"")</f>
        <v>3</v>
      </c>
      <c r="I492" s="37" t="n">
        <f aca="false">IF(C492="","",C492-B492)</f>
        <v>1</v>
      </c>
      <c r="J492" s="38" t="str">
        <f aca="false">IF(I492="","",IF(I492&gt;H492,"Delayed","On Time"))</f>
        <v>On Time</v>
      </c>
      <c r="K492" s="37" t="str">
        <f aca="false">IF(J492="Delayed",I492-H492,"")</f>
        <v/>
      </c>
    </row>
    <row r="493" customFormat="false" ht="15" hidden="false" customHeight="false" outlineLevel="0" collapsed="false">
      <c r="A493" s="35" t="s">
        <v>557</v>
      </c>
      <c r="B493" s="36" t="n">
        <v>46260</v>
      </c>
      <c r="C493" s="36" t="n">
        <v>46265</v>
      </c>
      <c r="D493" s="35" t="s">
        <v>44</v>
      </c>
      <c r="E493" s="35" t="s">
        <v>35</v>
      </c>
      <c r="F493" s="35" t="s">
        <v>15</v>
      </c>
      <c r="G493" s="35"/>
      <c r="H493" s="37" t="n">
        <f aca="false">IFERROR(VLOOKUP(D493,Settings!$A$5:$C$14,3,FALSE()),"")</f>
        <v>3</v>
      </c>
      <c r="I493" s="37" t="n">
        <f aca="false">IF(C493="","",C493-B493)</f>
        <v>5</v>
      </c>
      <c r="J493" s="38" t="str">
        <f aca="false">IF(I493="","",IF(I493&gt;H493,"Delayed","On Time"))</f>
        <v>Delayed</v>
      </c>
      <c r="K493" s="37" t="n">
        <f aca="false">IF(J493="Delayed",I493-H493,"")</f>
        <v>2</v>
      </c>
    </row>
    <row r="494" customFormat="false" ht="15" hidden="false" customHeight="false" outlineLevel="0" collapsed="false">
      <c r="A494" s="35" t="s">
        <v>558</v>
      </c>
      <c r="B494" s="36" t="n">
        <v>46260</v>
      </c>
      <c r="C494" s="36"/>
      <c r="D494" s="35" t="s">
        <v>46</v>
      </c>
      <c r="E494" s="35" t="s">
        <v>33</v>
      </c>
      <c r="F494" s="35" t="s">
        <v>18</v>
      </c>
      <c r="G494" s="35" t="s">
        <v>45</v>
      </c>
      <c r="H494" s="37" t="n">
        <f aca="false">IFERROR(VLOOKUP(D494,Settings!$A$5:$C$14,3,FALSE()),"")</f>
        <v>3</v>
      </c>
      <c r="I494" s="37" t="str">
        <f aca="false">IF(C494="","",C494-B494)</f>
        <v/>
      </c>
      <c r="J494" s="38" t="str">
        <f aca="false">IF(I494="","",IF(I494&gt;H494,"Delayed","On Time"))</f>
        <v/>
      </c>
      <c r="K494" s="37" t="str">
        <f aca="false">IF(J494="Delayed",I494-H494,"")</f>
        <v/>
      </c>
    </row>
    <row r="495" customFormat="false" ht="15" hidden="false" customHeight="false" outlineLevel="0" collapsed="false">
      <c r="A495" s="35" t="s">
        <v>559</v>
      </c>
      <c r="B495" s="36" t="n">
        <v>46260</v>
      </c>
      <c r="C495" s="36" t="n">
        <v>46265</v>
      </c>
      <c r="D495" s="35" t="s">
        <v>46</v>
      </c>
      <c r="E495" s="35" t="s">
        <v>34</v>
      </c>
      <c r="F495" s="35" t="s">
        <v>15</v>
      </c>
      <c r="G495" s="35"/>
      <c r="H495" s="37" t="n">
        <f aca="false">IFERROR(VLOOKUP(D495,Settings!$A$5:$C$14,3,FALSE()),"")</f>
        <v>3</v>
      </c>
      <c r="I495" s="37" t="n">
        <f aca="false">IF(C495="","",C495-B495)</f>
        <v>5</v>
      </c>
      <c r="J495" s="38" t="str">
        <f aca="false">IF(I495="","",IF(I495&gt;H495,"Delayed","On Time"))</f>
        <v>Delayed</v>
      </c>
      <c r="K495" s="37" t="n">
        <f aca="false">IF(J495="Delayed",I495-H495,"")</f>
        <v>2</v>
      </c>
    </row>
    <row r="496" customFormat="false" ht="15" hidden="false" customHeight="false" outlineLevel="0" collapsed="false">
      <c r="A496" s="35" t="s">
        <v>560</v>
      </c>
      <c r="B496" s="36" t="n">
        <v>46260</v>
      </c>
      <c r="C496" s="36" t="n">
        <v>46263</v>
      </c>
      <c r="D496" s="35" t="s">
        <v>50</v>
      </c>
      <c r="E496" s="35" t="s">
        <v>34</v>
      </c>
      <c r="F496" s="35" t="s">
        <v>15</v>
      </c>
      <c r="G496" s="35"/>
      <c r="H496" s="37" t="n">
        <f aca="false">IFERROR(VLOOKUP(D496,Settings!$A$5:$C$14,3,FALSE()),"")</f>
        <v>3</v>
      </c>
      <c r="I496" s="37" t="n">
        <f aca="false">IF(C496="","",C496-B496)</f>
        <v>3</v>
      </c>
      <c r="J496" s="38" t="str">
        <f aca="false">IF(I496="","",IF(I496&gt;H496,"Delayed","On Time"))</f>
        <v>On Time</v>
      </c>
      <c r="K496" s="37" t="str">
        <f aca="false">IF(J496="Delayed",I496-H496,"")</f>
        <v/>
      </c>
    </row>
    <row r="497" customFormat="false" ht="15" hidden="false" customHeight="false" outlineLevel="0" collapsed="false">
      <c r="A497" s="35" t="s">
        <v>561</v>
      </c>
      <c r="B497" s="36" t="n">
        <v>46260</v>
      </c>
      <c r="C497" s="36" t="n">
        <v>46265</v>
      </c>
      <c r="D497" s="35" t="s">
        <v>48</v>
      </c>
      <c r="E497" s="35" t="s">
        <v>35</v>
      </c>
      <c r="F497" s="35" t="s">
        <v>15</v>
      </c>
      <c r="G497" s="35"/>
      <c r="H497" s="37" t="n">
        <f aca="false">IFERROR(VLOOKUP(D497,Settings!$A$5:$C$14,3,FALSE()),"")</f>
        <v>3</v>
      </c>
      <c r="I497" s="37" t="n">
        <f aca="false">IF(C497="","",C497-B497)</f>
        <v>5</v>
      </c>
      <c r="J497" s="38" t="str">
        <f aca="false">IF(I497="","",IF(I497&gt;H497,"Delayed","On Time"))</f>
        <v>Delayed</v>
      </c>
      <c r="K497" s="37" t="n">
        <f aca="false">IF(J497="Delayed",I497-H497,"")</f>
        <v>2</v>
      </c>
    </row>
    <row r="498" customFormat="false" ht="15" hidden="false" customHeight="false" outlineLevel="0" collapsed="false">
      <c r="A498" s="35" t="s">
        <v>562</v>
      </c>
      <c r="B498" s="36" t="n">
        <v>46261</v>
      </c>
      <c r="C498" s="36" t="n">
        <v>46264</v>
      </c>
      <c r="D498" s="35" t="s">
        <v>46</v>
      </c>
      <c r="E498" s="35" t="s">
        <v>33</v>
      </c>
      <c r="F498" s="35" t="s">
        <v>15</v>
      </c>
      <c r="G498" s="35"/>
      <c r="H498" s="37" t="n">
        <f aca="false">IFERROR(VLOOKUP(D498,Settings!$A$5:$C$14,3,FALSE()),"")</f>
        <v>3</v>
      </c>
      <c r="I498" s="37" t="n">
        <f aca="false">IF(C498="","",C498-B498)</f>
        <v>3</v>
      </c>
      <c r="J498" s="38" t="str">
        <f aca="false">IF(I498="","",IF(I498&gt;H498,"Delayed","On Time"))</f>
        <v>On Time</v>
      </c>
      <c r="K498" s="37" t="str">
        <f aca="false">IF(J498="Delayed",I498-H498,"")</f>
        <v/>
      </c>
    </row>
    <row r="499" customFormat="false" ht="15" hidden="false" customHeight="false" outlineLevel="0" collapsed="false">
      <c r="A499" s="35" t="s">
        <v>563</v>
      </c>
      <c r="B499" s="36" t="n">
        <v>46261</v>
      </c>
      <c r="C499" s="36" t="n">
        <v>46263</v>
      </c>
      <c r="D499" s="35" t="s">
        <v>44</v>
      </c>
      <c r="E499" s="35" t="s">
        <v>33</v>
      </c>
      <c r="F499" s="35" t="s">
        <v>15</v>
      </c>
      <c r="G499" s="35"/>
      <c r="H499" s="37" t="n">
        <f aca="false">IFERROR(VLOOKUP(D499,Settings!$A$5:$C$14,3,FALSE()),"")</f>
        <v>3</v>
      </c>
      <c r="I499" s="37" t="n">
        <f aca="false">IF(C499="","",C499-B499)</f>
        <v>2</v>
      </c>
      <c r="J499" s="38" t="str">
        <f aca="false">IF(I499="","",IF(I499&gt;H499,"Delayed","On Time"))</f>
        <v>On Time</v>
      </c>
      <c r="K499" s="37" t="str">
        <f aca="false">IF(J499="Delayed",I499-H499,"")</f>
        <v/>
      </c>
    </row>
    <row r="500" customFormat="false" ht="15" hidden="false" customHeight="false" outlineLevel="0" collapsed="false">
      <c r="A500" s="35" t="s">
        <v>564</v>
      </c>
      <c r="B500" s="36" t="n">
        <v>46261</v>
      </c>
      <c r="C500" s="36" t="n">
        <v>46265</v>
      </c>
      <c r="D500" s="35" t="s">
        <v>46</v>
      </c>
      <c r="E500" s="35" t="s">
        <v>34</v>
      </c>
      <c r="F500" s="35" t="s">
        <v>15</v>
      </c>
      <c r="G500" s="35"/>
      <c r="H500" s="37" t="n">
        <f aca="false">IFERROR(VLOOKUP(D500,Settings!$A$5:$C$14,3,FALSE()),"")</f>
        <v>3</v>
      </c>
      <c r="I500" s="37" t="n">
        <f aca="false">IF(C500="","",C500-B500)</f>
        <v>4</v>
      </c>
      <c r="J500" s="38" t="str">
        <f aca="false">IF(I500="","",IF(I500&gt;H500,"Delayed","On Time"))</f>
        <v>Delayed</v>
      </c>
      <c r="K500" s="37" t="n">
        <f aca="false">IF(J500="Delayed",I500-H500,"")</f>
        <v>1</v>
      </c>
    </row>
    <row r="501" customFormat="false" ht="15" hidden="false" customHeight="false" outlineLevel="0" collapsed="false">
      <c r="A501" s="35" t="s">
        <v>565</v>
      </c>
      <c r="B501" s="36" t="n">
        <v>46261</v>
      </c>
      <c r="C501" s="36" t="n">
        <v>46265</v>
      </c>
      <c r="D501" s="35" t="s">
        <v>54</v>
      </c>
      <c r="E501" s="35" t="s">
        <v>36</v>
      </c>
      <c r="F501" s="35" t="s">
        <v>15</v>
      </c>
      <c r="G501" s="35"/>
      <c r="H501" s="37" t="n">
        <f aca="false">IFERROR(VLOOKUP(D501,Settings!$A$5:$C$14,3,FALSE()),"")</f>
        <v>5</v>
      </c>
      <c r="I501" s="37" t="n">
        <f aca="false">IF(C501="","",C501-B501)</f>
        <v>4</v>
      </c>
      <c r="J501" s="38" t="str">
        <f aca="false">IF(I501="","",IF(I501&gt;H501,"Delayed","On Time"))</f>
        <v>On Time</v>
      </c>
      <c r="K501" s="37" t="str">
        <f aca="false">IF(J501="Delayed",I501-H501,"")</f>
        <v/>
      </c>
    </row>
    <row r="502" customFormat="false" ht="15" hidden="false" customHeight="false" outlineLevel="0" collapsed="false">
      <c r="A502" s="35" t="s">
        <v>566</v>
      </c>
      <c r="B502" s="36" t="n">
        <v>46261</v>
      </c>
      <c r="C502" s="36" t="n">
        <v>46267</v>
      </c>
      <c r="D502" s="35" t="s">
        <v>54</v>
      </c>
      <c r="E502" s="35" t="s">
        <v>33</v>
      </c>
      <c r="F502" s="35" t="s">
        <v>15</v>
      </c>
      <c r="G502" s="35"/>
      <c r="H502" s="37" t="n">
        <f aca="false">IFERROR(VLOOKUP(D502,Settings!$A$5:$C$14,3,FALSE()),"")</f>
        <v>5</v>
      </c>
      <c r="I502" s="37" t="n">
        <f aca="false">IF(C502="","",C502-B502)</f>
        <v>6</v>
      </c>
      <c r="J502" s="38" t="str">
        <f aca="false">IF(I502="","",IF(I502&gt;H502,"Delayed","On Time"))</f>
        <v>Delayed</v>
      </c>
      <c r="K502" s="37" t="n">
        <f aca="false">IF(J502="Delayed",I502-H502,"")</f>
        <v>1</v>
      </c>
    </row>
    <row r="503" customFormat="false" ht="15" hidden="false" customHeight="false" outlineLevel="0" collapsed="false">
      <c r="A503" s="35" t="s">
        <v>567</v>
      </c>
      <c r="B503" s="36" t="n">
        <v>46261</v>
      </c>
      <c r="C503" s="36" t="n">
        <v>46262</v>
      </c>
      <c r="D503" s="35" t="s">
        <v>44</v>
      </c>
      <c r="E503" s="35" t="s">
        <v>34</v>
      </c>
      <c r="F503" s="35" t="s">
        <v>15</v>
      </c>
      <c r="G503" s="35"/>
      <c r="H503" s="37" t="n">
        <f aca="false">IFERROR(VLOOKUP(D503,Settings!$A$5:$C$14,3,FALSE()),"")</f>
        <v>3</v>
      </c>
      <c r="I503" s="37" t="n">
        <f aca="false">IF(C503="","",C503-B503)</f>
        <v>1</v>
      </c>
      <c r="J503" s="38" t="str">
        <f aca="false">IF(I503="","",IF(I503&gt;H503,"Delayed","On Time"))</f>
        <v>On Time</v>
      </c>
      <c r="K503" s="37" t="str">
        <f aca="false">IF(J503="Delayed",I503-H503,"")</f>
        <v/>
      </c>
    </row>
    <row r="504" customFormat="false" ht="15" hidden="false" customHeight="false" outlineLevel="0" collapsed="false">
      <c r="A504" s="35" t="s">
        <v>568</v>
      </c>
      <c r="B504" s="36" t="n">
        <v>46261</v>
      </c>
      <c r="C504" s="36" t="n">
        <v>46262</v>
      </c>
      <c r="D504" s="35" t="s">
        <v>44</v>
      </c>
      <c r="E504" s="35" t="s">
        <v>33</v>
      </c>
      <c r="F504" s="35" t="s">
        <v>15</v>
      </c>
      <c r="G504" s="35"/>
      <c r="H504" s="37" t="n">
        <f aca="false">IFERROR(VLOOKUP(D504,Settings!$A$5:$C$14,3,FALSE()),"")</f>
        <v>3</v>
      </c>
      <c r="I504" s="37" t="n">
        <f aca="false">IF(C504="","",C504-B504)</f>
        <v>1</v>
      </c>
      <c r="J504" s="38" t="str">
        <f aca="false">IF(I504="","",IF(I504&gt;H504,"Delayed","On Time"))</f>
        <v>On Time</v>
      </c>
      <c r="K504" s="37" t="str">
        <f aca="false">IF(J504="Delayed",I504-H504,"")</f>
        <v/>
      </c>
    </row>
    <row r="505" customFormat="false" ht="15" hidden="false" customHeight="false" outlineLevel="0" collapsed="false">
      <c r="A505" s="35" t="s">
        <v>569</v>
      </c>
      <c r="B505" s="36" t="n">
        <v>46261</v>
      </c>
      <c r="C505" s="36"/>
      <c r="D505" s="35" t="s">
        <v>44</v>
      </c>
      <c r="E505" s="35" t="s">
        <v>33</v>
      </c>
      <c r="F505" s="35" t="s">
        <v>18</v>
      </c>
      <c r="G505" s="35" t="s">
        <v>49</v>
      </c>
      <c r="H505" s="37" t="n">
        <f aca="false">IFERROR(VLOOKUP(D505,Settings!$A$5:$C$14,3,FALSE()),"")</f>
        <v>3</v>
      </c>
      <c r="I505" s="37" t="str">
        <f aca="false">IF(C505="","",C505-B505)</f>
        <v/>
      </c>
      <c r="J505" s="38" t="str">
        <f aca="false">IF(I505="","",IF(I505&gt;H505,"Delayed","On Time"))</f>
        <v/>
      </c>
      <c r="K505" s="37" t="str">
        <f aca="false">IF(J505="Delayed",I505-H505,"")</f>
        <v/>
      </c>
    </row>
    <row r="506" customFormat="false" ht="15" hidden="false" customHeight="false" outlineLevel="0" collapsed="false">
      <c r="A506" s="35" t="s">
        <v>570</v>
      </c>
      <c r="B506" s="36" t="n">
        <v>46262</v>
      </c>
      <c r="C506" s="36" t="n">
        <v>46264</v>
      </c>
      <c r="D506" s="35" t="s">
        <v>44</v>
      </c>
      <c r="E506" s="35" t="s">
        <v>33</v>
      </c>
      <c r="F506" s="35" t="s">
        <v>15</v>
      </c>
      <c r="G506" s="35"/>
      <c r="H506" s="37" t="n">
        <f aca="false">IFERROR(VLOOKUP(D506,Settings!$A$5:$C$14,3,FALSE()),"")</f>
        <v>3</v>
      </c>
      <c r="I506" s="37" t="n">
        <f aca="false">IF(C506="","",C506-B506)</f>
        <v>2</v>
      </c>
      <c r="J506" s="38" t="str">
        <f aca="false">IF(I506="","",IF(I506&gt;H506,"Delayed","On Time"))</f>
        <v>On Time</v>
      </c>
      <c r="K506" s="37" t="str">
        <f aca="false">IF(J506="Delayed",I506-H506,"")</f>
        <v/>
      </c>
    </row>
    <row r="507" customFormat="false" ht="15" hidden="false" customHeight="false" outlineLevel="0" collapsed="false">
      <c r="A507" s="35" t="s">
        <v>571</v>
      </c>
      <c r="B507" s="36" t="n">
        <v>46262</v>
      </c>
      <c r="C507" s="36" t="n">
        <v>46265</v>
      </c>
      <c r="D507" s="35" t="s">
        <v>46</v>
      </c>
      <c r="E507" s="35" t="s">
        <v>35</v>
      </c>
      <c r="F507" s="35" t="s">
        <v>17</v>
      </c>
      <c r="G507" s="35" t="s">
        <v>43</v>
      </c>
      <c r="H507" s="37" t="n">
        <f aca="false">IFERROR(VLOOKUP(D507,Settings!$A$5:$C$14,3,FALSE()),"")</f>
        <v>3</v>
      </c>
      <c r="I507" s="37" t="n">
        <f aca="false">IF(C507="","",C507-B507)</f>
        <v>3</v>
      </c>
      <c r="J507" s="38" t="str">
        <f aca="false">IF(I507="","",IF(I507&gt;H507,"Delayed","On Time"))</f>
        <v>On Time</v>
      </c>
      <c r="K507" s="37" t="str">
        <f aca="false">IF(J507="Delayed",I507-H507,"")</f>
        <v/>
      </c>
    </row>
    <row r="508" customFormat="false" ht="15" hidden="false" customHeight="false" outlineLevel="0" collapsed="false">
      <c r="A508" s="35" t="s">
        <v>572</v>
      </c>
      <c r="B508" s="36" t="n">
        <v>46262</v>
      </c>
      <c r="C508" s="36" t="n">
        <v>46268</v>
      </c>
      <c r="D508" s="35" t="s">
        <v>44</v>
      </c>
      <c r="E508" s="35" t="s">
        <v>34</v>
      </c>
      <c r="F508" s="35" t="s">
        <v>15</v>
      </c>
      <c r="G508" s="35"/>
      <c r="H508" s="37" t="n">
        <f aca="false">IFERROR(VLOOKUP(D508,Settings!$A$5:$C$14,3,FALSE()),"")</f>
        <v>3</v>
      </c>
      <c r="I508" s="37" t="n">
        <f aca="false">IF(C508="","",C508-B508)</f>
        <v>6</v>
      </c>
      <c r="J508" s="38" t="str">
        <f aca="false">IF(I508="","",IF(I508&gt;H508,"Delayed","On Time"))</f>
        <v>Delayed</v>
      </c>
      <c r="K508" s="37" t="n">
        <f aca="false">IF(J508="Delayed",I508-H508,"")</f>
        <v>3</v>
      </c>
    </row>
    <row r="509" customFormat="false" ht="15" hidden="false" customHeight="false" outlineLevel="0" collapsed="false">
      <c r="A509" s="35" t="s">
        <v>573</v>
      </c>
      <c r="B509" s="36" t="n">
        <v>46262</v>
      </c>
      <c r="C509" s="36" t="n">
        <v>46268</v>
      </c>
      <c r="D509" s="35" t="s">
        <v>46</v>
      </c>
      <c r="E509" s="35" t="s">
        <v>35</v>
      </c>
      <c r="F509" s="35" t="s">
        <v>15</v>
      </c>
      <c r="G509" s="35"/>
      <c r="H509" s="37" t="n">
        <f aca="false">IFERROR(VLOOKUP(D509,Settings!$A$5:$C$14,3,FALSE()),"")</f>
        <v>3</v>
      </c>
      <c r="I509" s="37" t="n">
        <f aca="false">IF(C509="","",C509-B509)</f>
        <v>6</v>
      </c>
      <c r="J509" s="38" t="str">
        <f aca="false">IF(I509="","",IF(I509&gt;H509,"Delayed","On Time"))</f>
        <v>Delayed</v>
      </c>
      <c r="K509" s="37" t="n">
        <f aca="false">IF(J509="Delayed",I509-H509,"")</f>
        <v>3</v>
      </c>
    </row>
    <row r="510" customFormat="false" ht="15" hidden="false" customHeight="false" outlineLevel="0" collapsed="false">
      <c r="A510" s="35" t="s">
        <v>574</v>
      </c>
      <c r="B510" s="36" t="n">
        <v>46262</v>
      </c>
      <c r="C510" s="36"/>
      <c r="D510" s="35" t="s">
        <v>48</v>
      </c>
      <c r="E510" s="35" t="s">
        <v>35</v>
      </c>
      <c r="F510" s="35" t="s">
        <v>18</v>
      </c>
      <c r="G510" s="35" t="s">
        <v>45</v>
      </c>
      <c r="H510" s="37" t="n">
        <f aca="false">IFERROR(VLOOKUP(D510,Settings!$A$5:$C$14,3,FALSE()),"")</f>
        <v>3</v>
      </c>
      <c r="I510" s="37" t="str">
        <f aca="false">IF(C510="","",C510-B510)</f>
        <v/>
      </c>
      <c r="J510" s="38" t="str">
        <f aca="false">IF(I510="","",IF(I510&gt;H510,"Delayed","On Time"))</f>
        <v/>
      </c>
      <c r="K510" s="37" t="str">
        <f aca="false">IF(J510="Delayed",I510-H510,"")</f>
        <v/>
      </c>
    </row>
    <row r="511" customFormat="false" ht="15" hidden="false" customHeight="false" outlineLevel="0" collapsed="false">
      <c r="A511" s="35" t="s">
        <v>575</v>
      </c>
      <c r="B511" s="36" t="n">
        <v>46262</v>
      </c>
      <c r="C511" s="36" t="n">
        <v>46265</v>
      </c>
      <c r="D511" s="35" t="s">
        <v>48</v>
      </c>
      <c r="E511" s="35" t="s">
        <v>36</v>
      </c>
      <c r="F511" s="35" t="s">
        <v>15</v>
      </c>
      <c r="G511" s="35"/>
      <c r="H511" s="37" t="n">
        <f aca="false">IFERROR(VLOOKUP(D511,Settings!$A$5:$C$14,3,FALSE()),"")</f>
        <v>3</v>
      </c>
      <c r="I511" s="37" t="n">
        <f aca="false">IF(C511="","",C511-B511)</f>
        <v>3</v>
      </c>
      <c r="J511" s="38" t="str">
        <f aca="false">IF(I511="","",IF(I511&gt;H511,"Delayed","On Time"))</f>
        <v>On Time</v>
      </c>
      <c r="K511" s="37" t="str">
        <f aca="false">IF(J511="Delayed",I511-H511,"")</f>
        <v/>
      </c>
    </row>
    <row r="512" customFormat="false" ht="15" hidden="false" customHeight="false" outlineLevel="0" collapsed="false">
      <c r="A512" s="35" t="s">
        <v>576</v>
      </c>
      <c r="B512" s="36" t="n">
        <v>46262</v>
      </c>
      <c r="C512" s="36" t="n">
        <v>46265</v>
      </c>
      <c r="D512" s="35" t="s">
        <v>46</v>
      </c>
      <c r="E512" s="35" t="s">
        <v>35</v>
      </c>
      <c r="F512" s="35" t="s">
        <v>15</v>
      </c>
      <c r="G512" s="35"/>
      <c r="H512" s="37" t="n">
        <f aca="false">IFERROR(VLOOKUP(D512,Settings!$A$5:$C$14,3,FALSE()),"")</f>
        <v>3</v>
      </c>
      <c r="I512" s="37" t="n">
        <f aca="false">IF(C512="","",C512-B512)</f>
        <v>3</v>
      </c>
      <c r="J512" s="38" t="str">
        <f aca="false">IF(I512="","",IF(I512&gt;H512,"Delayed","On Time"))</f>
        <v>On Time</v>
      </c>
      <c r="K512" s="37" t="str">
        <f aca="false">IF(J512="Delayed",I512-H512,"")</f>
        <v/>
      </c>
    </row>
    <row r="513" customFormat="false" ht="15" hidden="false" customHeight="false" outlineLevel="0" collapsed="false">
      <c r="A513" s="35" t="s">
        <v>577</v>
      </c>
      <c r="B513" s="36" t="n">
        <v>46262</v>
      </c>
      <c r="C513" s="36" t="n">
        <v>46267</v>
      </c>
      <c r="D513" s="35" t="s">
        <v>44</v>
      </c>
      <c r="E513" s="35" t="s">
        <v>35</v>
      </c>
      <c r="F513" s="35" t="s">
        <v>15</v>
      </c>
      <c r="G513" s="35"/>
      <c r="H513" s="37" t="n">
        <f aca="false">IFERROR(VLOOKUP(D513,Settings!$A$5:$C$14,3,FALSE()),"")</f>
        <v>3</v>
      </c>
      <c r="I513" s="37" t="n">
        <f aca="false">IF(C513="","",C513-B513)</f>
        <v>5</v>
      </c>
      <c r="J513" s="38" t="str">
        <f aca="false">IF(I513="","",IF(I513&gt;H513,"Delayed","On Time"))</f>
        <v>Delayed</v>
      </c>
      <c r="K513" s="37" t="n">
        <f aca="false">IF(J513="Delayed",I513-H513,"")</f>
        <v>2</v>
      </c>
    </row>
    <row r="514" customFormat="false" ht="15" hidden="false" customHeight="false" outlineLevel="0" collapsed="false">
      <c r="A514" s="35" t="s">
        <v>578</v>
      </c>
      <c r="B514" s="36" t="n">
        <v>46263</v>
      </c>
      <c r="C514" s="36" t="n">
        <v>46266</v>
      </c>
      <c r="D514" s="35" t="s">
        <v>48</v>
      </c>
      <c r="E514" s="35" t="s">
        <v>36</v>
      </c>
      <c r="F514" s="35" t="s">
        <v>15</v>
      </c>
      <c r="G514" s="35"/>
      <c r="H514" s="37" t="n">
        <f aca="false">IFERROR(VLOOKUP(D514,Settings!$A$5:$C$14,3,FALSE()),"")</f>
        <v>3</v>
      </c>
      <c r="I514" s="37" t="n">
        <f aca="false">IF(C514="","",C514-B514)</f>
        <v>3</v>
      </c>
      <c r="J514" s="38" t="str">
        <f aca="false">IF(I514="","",IF(I514&gt;H514,"Delayed","On Time"))</f>
        <v>On Time</v>
      </c>
      <c r="K514" s="37" t="str">
        <f aca="false">IF(J514="Delayed",I514-H514,"")</f>
        <v/>
      </c>
    </row>
    <row r="515" customFormat="false" ht="15" hidden="false" customHeight="false" outlineLevel="0" collapsed="false">
      <c r="A515" s="35" t="s">
        <v>579</v>
      </c>
      <c r="B515" s="36" t="n">
        <v>46263</v>
      </c>
      <c r="C515" s="36" t="n">
        <v>46268</v>
      </c>
      <c r="D515" s="35" t="s">
        <v>55</v>
      </c>
      <c r="E515" s="35" t="s">
        <v>36</v>
      </c>
      <c r="F515" s="35" t="s">
        <v>17</v>
      </c>
      <c r="G515" s="35" t="s">
        <v>49</v>
      </c>
      <c r="H515" s="37" t="n">
        <f aca="false">IFERROR(VLOOKUP(D515,Settings!$A$5:$C$14,3,FALSE()),"")</f>
        <v>5</v>
      </c>
      <c r="I515" s="37" t="n">
        <f aca="false">IF(C515="","",C515-B515)</f>
        <v>5</v>
      </c>
      <c r="J515" s="38" t="str">
        <f aca="false">IF(I515="","",IF(I515&gt;H515,"Delayed","On Time"))</f>
        <v>On Time</v>
      </c>
      <c r="K515" s="37" t="str">
        <f aca="false">IF(J515="Delayed",I515-H515,"")</f>
        <v/>
      </c>
    </row>
    <row r="516" customFormat="false" ht="15" hidden="false" customHeight="false" outlineLevel="0" collapsed="false">
      <c r="A516" s="35" t="s">
        <v>580</v>
      </c>
      <c r="B516" s="36" t="n">
        <v>46263</v>
      </c>
      <c r="C516" s="36" t="n">
        <v>46266</v>
      </c>
      <c r="D516" s="35" t="s">
        <v>46</v>
      </c>
      <c r="E516" s="35" t="s">
        <v>36</v>
      </c>
      <c r="F516" s="35" t="s">
        <v>15</v>
      </c>
      <c r="G516" s="35"/>
      <c r="H516" s="37" t="n">
        <f aca="false">IFERROR(VLOOKUP(D516,Settings!$A$5:$C$14,3,FALSE()),"")</f>
        <v>3</v>
      </c>
      <c r="I516" s="37" t="n">
        <f aca="false">IF(C516="","",C516-B516)</f>
        <v>3</v>
      </c>
      <c r="J516" s="38" t="str">
        <f aca="false">IF(I516="","",IF(I516&gt;H516,"Delayed","On Time"))</f>
        <v>On Time</v>
      </c>
      <c r="K516" s="37" t="str">
        <f aca="false">IF(J516="Delayed",I516-H516,"")</f>
        <v/>
      </c>
    </row>
    <row r="517" customFormat="false" ht="15" hidden="false" customHeight="false" outlineLevel="0" collapsed="false">
      <c r="A517" s="35" t="s">
        <v>581</v>
      </c>
      <c r="B517" s="36" t="n">
        <v>46263</v>
      </c>
      <c r="C517" s="36" t="n">
        <v>46265</v>
      </c>
      <c r="D517" s="35" t="s">
        <v>50</v>
      </c>
      <c r="E517" s="35" t="s">
        <v>33</v>
      </c>
      <c r="F517" s="35" t="s">
        <v>15</v>
      </c>
      <c r="G517" s="35"/>
      <c r="H517" s="37" t="n">
        <f aca="false">IFERROR(VLOOKUP(D517,Settings!$A$5:$C$14,3,FALSE()),"")</f>
        <v>3</v>
      </c>
      <c r="I517" s="37" t="n">
        <f aca="false">IF(C517="","",C517-B517)</f>
        <v>2</v>
      </c>
      <c r="J517" s="38" t="str">
        <f aca="false">IF(I517="","",IF(I517&gt;H517,"Delayed","On Time"))</f>
        <v>On Time</v>
      </c>
      <c r="K517" s="37" t="str">
        <f aca="false">IF(J517="Delayed",I517-H517,"")</f>
        <v/>
      </c>
    </row>
    <row r="518" customFormat="false" ht="15" hidden="false" customHeight="false" outlineLevel="0" collapsed="false">
      <c r="A518" s="35" t="s">
        <v>582</v>
      </c>
      <c r="B518" s="36" t="n">
        <v>46263</v>
      </c>
      <c r="C518" s="36" t="n">
        <v>46269</v>
      </c>
      <c r="D518" s="35" t="s">
        <v>52</v>
      </c>
      <c r="E518" s="35" t="s">
        <v>34</v>
      </c>
      <c r="F518" s="35" t="s">
        <v>15</v>
      </c>
      <c r="G518" s="35"/>
      <c r="H518" s="37" t="n">
        <f aca="false">IFERROR(VLOOKUP(D518,Settings!$A$5:$C$14,3,FALSE()),"")</f>
        <v>4</v>
      </c>
      <c r="I518" s="37" t="n">
        <f aca="false">IF(C518="","",C518-B518)</f>
        <v>6</v>
      </c>
      <c r="J518" s="38" t="str">
        <f aca="false">IF(I518="","",IF(I518&gt;H518,"Delayed","On Time"))</f>
        <v>Delayed</v>
      </c>
      <c r="K518" s="37" t="n">
        <f aca="false">IF(J518="Delayed",I518-H518,"")</f>
        <v>2</v>
      </c>
    </row>
    <row r="519" customFormat="false" ht="15" hidden="false" customHeight="false" outlineLevel="0" collapsed="false">
      <c r="A519" s="35" t="s">
        <v>583</v>
      </c>
      <c r="B519" s="36" t="n">
        <v>46263</v>
      </c>
      <c r="C519" s="36" t="n">
        <v>46265</v>
      </c>
      <c r="D519" s="35" t="s">
        <v>44</v>
      </c>
      <c r="E519" s="35" t="s">
        <v>33</v>
      </c>
      <c r="F519" s="35" t="s">
        <v>15</v>
      </c>
      <c r="G519" s="35"/>
      <c r="H519" s="37" t="n">
        <f aca="false">IFERROR(VLOOKUP(D519,Settings!$A$5:$C$14,3,FALSE()),"")</f>
        <v>3</v>
      </c>
      <c r="I519" s="37" t="n">
        <f aca="false">IF(C519="","",C519-B519)</f>
        <v>2</v>
      </c>
      <c r="J519" s="38" t="str">
        <f aca="false">IF(I519="","",IF(I519&gt;H519,"Delayed","On Time"))</f>
        <v>On Time</v>
      </c>
      <c r="K519" s="37" t="str">
        <f aca="false">IF(J519="Delayed",I519-H519,"")</f>
        <v/>
      </c>
    </row>
    <row r="520" customFormat="false" ht="15" hidden="false" customHeight="false" outlineLevel="0" collapsed="false">
      <c r="A520" s="35" t="s">
        <v>584</v>
      </c>
      <c r="B520" s="36" t="n">
        <v>46263</v>
      </c>
      <c r="C520" s="36"/>
      <c r="D520" s="35" t="s">
        <v>48</v>
      </c>
      <c r="E520" s="35" t="s">
        <v>34</v>
      </c>
      <c r="F520" s="35" t="s">
        <v>18</v>
      </c>
      <c r="G520" s="35" t="s">
        <v>45</v>
      </c>
      <c r="H520" s="37" t="n">
        <f aca="false">IFERROR(VLOOKUP(D520,Settings!$A$5:$C$14,3,FALSE()),"")</f>
        <v>3</v>
      </c>
      <c r="I520" s="37" t="str">
        <f aca="false">IF(C520="","",C520-B520)</f>
        <v/>
      </c>
      <c r="J520" s="38" t="str">
        <f aca="false">IF(I520="","",IF(I520&gt;H520,"Delayed","On Time"))</f>
        <v/>
      </c>
      <c r="K520" s="37" t="str">
        <f aca="false">IF(J520="Delayed",I520-H520,"")</f>
        <v/>
      </c>
    </row>
    <row r="521" customFormat="false" ht="15" hidden="false" customHeight="false" outlineLevel="0" collapsed="false">
      <c r="A521" s="35" t="s">
        <v>585</v>
      </c>
      <c r="B521" s="36" t="n">
        <v>46263</v>
      </c>
      <c r="C521" s="36"/>
      <c r="D521" s="35" t="s">
        <v>50</v>
      </c>
      <c r="E521" s="35" t="s">
        <v>35</v>
      </c>
      <c r="F521" s="35" t="s">
        <v>18</v>
      </c>
      <c r="G521" s="35" t="s">
        <v>45</v>
      </c>
      <c r="H521" s="37" t="n">
        <f aca="false">IFERROR(VLOOKUP(D521,Settings!$A$5:$C$14,3,FALSE()),"")</f>
        <v>3</v>
      </c>
      <c r="I521" s="37" t="str">
        <f aca="false">IF(C521="","",C521-B521)</f>
        <v/>
      </c>
      <c r="J521" s="38" t="str">
        <f aca="false">IF(I521="","",IF(I521&gt;H521,"Delayed","On Time"))</f>
        <v/>
      </c>
      <c r="K521" s="37" t="str">
        <f aca="false">IF(J521="Delayed",I521-H521,"")</f>
        <v/>
      </c>
    </row>
    <row r="522" customFormat="false" ht="15" hidden="false" customHeight="false" outlineLevel="0" collapsed="false">
      <c r="A522" s="35" t="s">
        <v>586</v>
      </c>
      <c r="B522" s="36" t="n">
        <v>46263</v>
      </c>
      <c r="C522" s="36"/>
      <c r="D522" s="35" t="s">
        <v>44</v>
      </c>
      <c r="E522" s="35" t="s">
        <v>34</v>
      </c>
      <c r="F522" s="35" t="s">
        <v>18</v>
      </c>
      <c r="G522" s="35" t="s">
        <v>49</v>
      </c>
      <c r="H522" s="37" t="n">
        <f aca="false">IFERROR(VLOOKUP(D522,Settings!$A$5:$C$14,3,FALSE()),"")</f>
        <v>3</v>
      </c>
      <c r="I522" s="37" t="str">
        <f aca="false">IF(C522="","",C522-B522)</f>
        <v/>
      </c>
      <c r="J522" s="38" t="str">
        <f aca="false">IF(I522="","",IF(I522&gt;H522,"Delayed","On Time"))</f>
        <v/>
      </c>
      <c r="K522" s="37" t="str">
        <f aca="false">IF(J522="Delayed",I522-H522,"")</f>
        <v/>
      </c>
    </row>
    <row r="523" customFormat="false" ht="15" hidden="false" customHeight="false" outlineLevel="0" collapsed="false">
      <c r="A523" s="35" t="s">
        <v>587</v>
      </c>
      <c r="B523" s="36" t="n">
        <v>46264</v>
      </c>
      <c r="C523" s="36" t="n">
        <v>46265</v>
      </c>
      <c r="D523" s="35" t="s">
        <v>50</v>
      </c>
      <c r="E523" s="35" t="s">
        <v>33</v>
      </c>
      <c r="F523" s="35" t="s">
        <v>17</v>
      </c>
      <c r="G523" s="35" t="s">
        <v>49</v>
      </c>
      <c r="H523" s="37" t="n">
        <f aca="false">IFERROR(VLOOKUP(D523,Settings!$A$5:$C$14,3,FALSE()),"")</f>
        <v>3</v>
      </c>
      <c r="I523" s="37" t="n">
        <f aca="false">IF(C523="","",C523-B523)</f>
        <v>1</v>
      </c>
      <c r="J523" s="38" t="str">
        <f aca="false">IF(I523="","",IF(I523&gt;H523,"Delayed","On Time"))</f>
        <v>On Time</v>
      </c>
      <c r="K523" s="37" t="str">
        <f aca="false">IF(J523="Delayed",I523-H523,"")</f>
        <v/>
      </c>
    </row>
    <row r="524" customFormat="false" ht="15" hidden="false" customHeight="false" outlineLevel="0" collapsed="false">
      <c r="A524" s="35" t="s">
        <v>588</v>
      </c>
      <c r="B524" s="36" t="n">
        <v>46264</v>
      </c>
      <c r="C524" s="36" t="n">
        <v>46268</v>
      </c>
      <c r="D524" s="35" t="s">
        <v>44</v>
      </c>
      <c r="E524" s="35" t="s">
        <v>34</v>
      </c>
      <c r="F524" s="35" t="s">
        <v>15</v>
      </c>
      <c r="G524" s="35"/>
      <c r="H524" s="37" t="n">
        <f aca="false">IFERROR(VLOOKUP(D524,Settings!$A$5:$C$14,3,FALSE()),"")</f>
        <v>3</v>
      </c>
      <c r="I524" s="37" t="n">
        <f aca="false">IF(C524="","",C524-B524)</f>
        <v>4</v>
      </c>
      <c r="J524" s="38" t="str">
        <f aca="false">IF(I524="","",IF(I524&gt;H524,"Delayed","On Time"))</f>
        <v>Delayed</v>
      </c>
      <c r="K524" s="37" t="n">
        <f aca="false">IF(J524="Delayed",I524-H524,"")</f>
        <v>1</v>
      </c>
    </row>
    <row r="525" customFormat="false" ht="15" hidden="false" customHeight="false" outlineLevel="0" collapsed="false">
      <c r="A525" s="35" t="s">
        <v>589</v>
      </c>
      <c r="B525" s="36" t="n">
        <v>46264</v>
      </c>
      <c r="C525" s="36" t="n">
        <v>46267</v>
      </c>
      <c r="D525" s="35" t="s">
        <v>50</v>
      </c>
      <c r="E525" s="35" t="s">
        <v>34</v>
      </c>
      <c r="F525" s="35" t="s">
        <v>15</v>
      </c>
      <c r="G525" s="35"/>
      <c r="H525" s="37" t="n">
        <f aca="false">IFERROR(VLOOKUP(D525,Settings!$A$5:$C$14,3,FALSE()),"")</f>
        <v>3</v>
      </c>
      <c r="I525" s="37" t="n">
        <f aca="false">IF(C525="","",C525-B525)</f>
        <v>3</v>
      </c>
      <c r="J525" s="38" t="str">
        <f aca="false">IF(I525="","",IF(I525&gt;H525,"Delayed","On Time"))</f>
        <v>On Time</v>
      </c>
      <c r="K525" s="37" t="str">
        <f aca="false">IF(J525="Delayed",I525-H525,"")</f>
        <v/>
      </c>
    </row>
    <row r="526" customFormat="false" ht="15" hidden="false" customHeight="false" outlineLevel="0" collapsed="false">
      <c r="A526" s="35" t="s">
        <v>590</v>
      </c>
      <c r="B526" s="36" t="n">
        <v>46264</v>
      </c>
      <c r="C526" s="36" t="n">
        <v>46266</v>
      </c>
      <c r="D526" s="35" t="s">
        <v>46</v>
      </c>
      <c r="E526" s="35" t="s">
        <v>34</v>
      </c>
      <c r="F526" s="35" t="s">
        <v>15</v>
      </c>
      <c r="G526" s="35"/>
      <c r="H526" s="37" t="n">
        <f aca="false">IFERROR(VLOOKUP(D526,Settings!$A$5:$C$14,3,FALSE()),"")</f>
        <v>3</v>
      </c>
      <c r="I526" s="37" t="n">
        <f aca="false">IF(C526="","",C526-B526)</f>
        <v>2</v>
      </c>
      <c r="J526" s="38" t="str">
        <f aca="false">IF(I526="","",IF(I526&gt;H526,"Delayed","On Time"))</f>
        <v>On Time</v>
      </c>
      <c r="K526" s="37" t="str">
        <f aca="false">IF(J526="Delayed",I526-H526,"")</f>
        <v/>
      </c>
    </row>
    <row r="527" customFormat="false" ht="15" hidden="false" customHeight="false" outlineLevel="0" collapsed="false">
      <c r="A527" s="35" t="s">
        <v>591</v>
      </c>
      <c r="B527" s="36" t="n">
        <v>46264</v>
      </c>
      <c r="C527" s="36" t="n">
        <v>46271</v>
      </c>
      <c r="D527" s="35" t="s">
        <v>48</v>
      </c>
      <c r="E527" s="35" t="s">
        <v>34</v>
      </c>
      <c r="F527" s="35" t="s">
        <v>15</v>
      </c>
      <c r="G527" s="35"/>
      <c r="H527" s="37" t="n">
        <f aca="false">IFERROR(VLOOKUP(D527,Settings!$A$5:$C$14,3,FALSE()),"")</f>
        <v>3</v>
      </c>
      <c r="I527" s="37" t="n">
        <f aca="false">IF(C527="","",C527-B527)</f>
        <v>7</v>
      </c>
      <c r="J527" s="38" t="str">
        <f aca="false">IF(I527="","",IF(I527&gt;H527,"Delayed","On Time"))</f>
        <v>Delayed</v>
      </c>
      <c r="K527" s="37" t="n">
        <f aca="false">IF(J527="Delayed",I527-H527,"")</f>
        <v>4</v>
      </c>
    </row>
    <row r="528" customFormat="false" ht="15" hidden="false" customHeight="false" outlineLevel="0" collapsed="false">
      <c r="A528" s="35" t="s">
        <v>592</v>
      </c>
      <c r="B528" s="36" t="n">
        <v>46264</v>
      </c>
      <c r="C528" s="36" t="n">
        <v>46269</v>
      </c>
      <c r="D528" s="35" t="s">
        <v>56</v>
      </c>
      <c r="E528" s="35" t="s">
        <v>36</v>
      </c>
      <c r="F528" s="35" t="s">
        <v>17</v>
      </c>
      <c r="G528" s="35" t="s">
        <v>49</v>
      </c>
      <c r="H528" s="37" t="n">
        <f aca="false">IFERROR(VLOOKUP(D528,Settings!$A$5:$C$14,3,FALSE()),"")</f>
        <v>6</v>
      </c>
      <c r="I528" s="37" t="n">
        <f aca="false">IF(C528="","",C528-B528)</f>
        <v>5</v>
      </c>
      <c r="J528" s="38" t="str">
        <f aca="false">IF(I528="","",IF(I528&gt;H528,"Delayed","On Time"))</f>
        <v>On Time</v>
      </c>
      <c r="K528" s="37" t="str">
        <f aca="false">IF(J528="Delayed",I528-H528,"")</f>
        <v/>
      </c>
    </row>
    <row r="529" customFormat="false" ht="15" hidden="false" customHeight="false" outlineLevel="0" collapsed="false">
      <c r="A529" s="35" t="s">
        <v>593</v>
      </c>
      <c r="B529" s="36" t="n">
        <v>46264</v>
      </c>
      <c r="C529" s="36" t="n">
        <v>46265</v>
      </c>
      <c r="D529" s="35" t="s">
        <v>44</v>
      </c>
      <c r="E529" s="35" t="s">
        <v>33</v>
      </c>
      <c r="F529" s="35" t="s">
        <v>15</v>
      </c>
      <c r="G529" s="35"/>
      <c r="H529" s="37" t="n">
        <f aca="false">IFERROR(VLOOKUP(D529,Settings!$A$5:$C$14,3,FALSE()),"")</f>
        <v>3</v>
      </c>
      <c r="I529" s="37" t="n">
        <f aca="false">IF(C529="","",C529-B529)</f>
        <v>1</v>
      </c>
      <c r="J529" s="38" t="str">
        <f aca="false">IF(I529="","",IF(I529&gt;H529,"Delayed","On Time"))</f>
        <v>On Time</v>
      </c>
      <c r="K529" s="37" t="str">
        <f aca="false">IF(J529="Delayed",I529-H529,"")</f>
        <v/>
      </c>
    </row>
    <row r="530" customFormat="false" ht="15" hidden="false" customHeight="false" outlineLevel="0" collapsed="false">
      <c r="A530" s="35" t="s">
        <v>594</v>
      </c>
      <c r="B530" s="36" t="n">
        <v>46264</v>
      </c>
      <c r="C530" s="36" t="n">
        <v>46268</v>
      </c>
      <c r="D530" s="35" t="s">
        <v>46</v>
      </c>
      <c r="E530" s="35" t="s">
        <v>34</v>
      </c>
      <c r="F530" s="35" t="s">
        <v>15</v>
      </c>
      <c r="G530" s="35"/>
      <c r="H530" s="37" t="n">
        <f aca="false">IFERROR(VLOOKUP(D530,Settings!$A$5:$C$14,3,FALSE()),"")</f>
        <v>3</v>
      </c>
      <c r="I530" s="37" t="n">
        <f aca="false">IF(C530="","",C530-B530)</f>
        <v>4</v>
      </c>
      <c r="J530" s="38" t="str">
        <f aca="false">IF(I530="","",IF(I530&gt;H530,"Delayed","On Time"))</f>
        <v>Delayed</v>
      </c>
      <c r="K530" s="37" t="n">
        <f aca="false">IF(J530="Delayed",I530-H530,"")</f>
        <v>1</v>
      </c>
    </row>
    <row r="531" customFormat="false" ht="15" hidden="false" customHeight="false" outlineLevel="0" collapsed="false">
      <c r="A531" s="35" t="s">
        <v>595</v>
      </c>
      <c r="B531" s="36" t="n">
        <v>46264</v>
      </c>
      <c r="C531" s="36" t="n">
        <v>46269</v>
      </c>
      <c r="D531" s="35" t="s">
        <v>50</v>
      </c>
      <c r="E531" s="35" t="s">
        <v>36</v>
      </c>
      <c r="F531" s="35" t="s">
        <v>15</v>
      </c>
      <c r="G531" s="35"/>
      <c r="H531" s="37" t="n">
        <f aca="false">IFERROR(VLOOKUP(D531,Settings!$A$5:$C$14,3,FALSE()),"")</f>
        <v>3</v>
      </c>
      <c r="I531" s="37" t="n">
        <f aca="false">IF(C531="","",C531-B531)</f>
        <v>5</v>
      </c>
      <c r="J531" s="38" t="str">
        <f aca="false">IF(I531="","",IF(I531&gt;H531,"Delayed","On Time"))</f>
        <v>Delayed</v>
      </c>
      <c r="K531" s="37" t="n">
        <f aca="false">IF(J531="Delayed",I531-H531,"")</f>
        <v>2</v>
      </c>
    </row>
    <row r="532" customFormat="false" ht="15" hidden="false" customHeight="false" outlineLevel="0" collapsed="false">
      <c r="A532" s="35" t="s">
        <v>596</v>
      </c>
      <c r="B532" s="36" t="n">
        <v>46264</v>
      </c>
      <c r="C532" s="36" t="n">
        <v>46266</v>
      </c>
      <c r="D532" s="35" t="s">
        <v>48</v>
      </c>
      <c r="E532" s="35" t="s">
        <v>33</v>
      </c>
      <c r="F532" s="35" t="s">
        <v>15</v>
      </c>
      <c r="G532" s="35"/>
      <c r="H532" s="37" t="n">
        <f aca="false">IFERROR(VLOOKUP(D532,Settings!$A$5:$C$14,3,FALSE()),"")</f>
        <v>3</v>
      </c>
      <c r="I532" s="37" t="n">
        <f aca="false">IF(C532="","",C532-B532)</f>
        <v>2</v>
      </c>
      <c r="J532" s="38" t="str">
        <f aca="false">IF(I532="","",IF(I532&gt;H532,"Delayed","On Time"))</f>
        <v>On Time</v>
      </c>
      <c r="K532" s="37" t="str">
        <f aca="false">IF(J532="Delayed",I532-H532,"")</f>
        <v/>
      </c>
    </row>
    <row r="533" customFormat="false" ht="15" hidden="false" customHeight="false" outlineLevel="0" collapsed="false">
      <c r="A533" s="35" t="s">
        <v>597</v>
      </c>
      <c r="B533" s="36" t="n">
        <v>46264</v>
      </c>
      <c r="C533" s="36" t="n">
        <v>46269</v>
      </c>
      <c r="D533" s="35" t="s">
        <v>54</v>
      </c>
      <c r="E533" s="35" t="s">
        <v>34</v>
      </c>
      <c r="F533" s="35" t="s">
        <v>15</v>
      </c>
      <c r="G533" s="35"/>
      <c r="H533" s="37" t="n">
        <f aca="false">IFERROR(VLOOKUP(D533,Settings!$A$5:$C$14,3,FALSE()),"")</f>
        <v>5</v>
      </c>
      <c r="I533" s="37" t="n">
        <f aca="false">IF(C533="","",C533-B533)</f>
        <v>5</v>
      </c>
      <c r="J533" s="38" t="str">
        <f aca="false">IF(I533="","",IF(I533&gt;H533,"Delayed","On Time"))</f>
        <v>On Time</v>
      </c>
      <c r="K533" s="37" t="str">
        <f aca="false">IF(J533="Delayed",I533-H533,"")</f>
        <v/>
      </c>
    </row>
    <row r="534" customFormat="false" ht="15" hidden="false" customHeight="false" outlineLevel="0" collapsed="false">
      <c r="A534" s="35" t="s">
        <v>598</v>
      </c>
      <c r="B534" s="36" t="n">
        <v>46264</v>
      </c>
      <c r="C534" s="36" t="n">
        <v>46268</v>
      </c>
      <c r="D534" s="35" t="s">
        <v>50</v>
      </c>
      <c r="E534" s="35" t="s">
        <v>33</v>
      </c>
      <c r="F534" s="35" t="s">
        <v>15</v>
      </c>
      <c r="G534" s="35"/>
      <c r="H534" s="37" t="n">
        <f aca="false">IFERROR(VLOOKUP(D534,Settings!$A$5:$C$14,3,FALSE()),"")</f>
        <v>3</v>
      </c>
      <c r="I534" s="37" t="n">
        <f aca="false">IF(C534="","",C534-B534)</f>
        <v>4</v>
      </c>
      <c r="J534" s="38" t="str">
        <f aca="false">IF(I534="","",IF(I534&gt;H534,"Delayed","On Time"))</f>
        <v>Delayed</v>
      </c>
      <c r="K534" s="37" t="n">
        <f aca="false">IF(J534="Delayed",I534-H534,"")</f>
        <v>1</v>
      </c>
    </row>
    <row r="535" customFormat="false" ht="15" hidden="false" customHeight="false" outlineLevel="0" collapsed="false">
      <c r="A535" s="35" t="s">
        <v>599</v>
      </c>
      <c r="B535" s="36" t="n">
        <v>46264</v>
      </c>
      <c r="C535" s="36" t="n">
        <v>46268</v>
      </c>
      <c r="D535" s="35" t="s">
        <v>52</v>
      </c>
      <c r="E535" s="35" t="s">
        <v>35</v>
      </c>
      <c r="F535" s="35" t="s">
        <v>15</v>
      </c>
      <c r="G535" s="35"/>
      <c r="H535" s="37" t="n">
        <f aca="false">IFERROR(VLOOKUP(D535,Settings!$A$5:$C$14,3,FALSE()),"")</f>
        <v>4</v>
      </c>
      <c r="I535" s="37" t="n">
        <f aca="false">IF(C535="","",C535-B535)</f>
        <v>4</v>
      </c>
      <c r="J535" s="38" t="str">
        <f aca="false">IF(I535="","",IF(I535&gt;H535,"Delayed","On Time"))</f>
        <v>On Time</v>
      </c>
      <c r="K535" s="37" t="str">
        <f aca="false">IF(J535="Delayed",I535-H535,"")</f>
        <v/>
      </c>
    </row>
    <row r="536" customFormat="false" ht="15" hidden="false" customHeight="false" outlineLevel="0" collapsed="false">
      <c r="A536" s="35" t="s">
        <v>600</v>
      </c>
      <c r="B536" s="36" t="n">
        <v>46264</v>
      </c>
      <c r="C536" s="36" t="n">
        <v>46269</v>
      </c>
      <c r="D536" s="35" t="s">
        <v>53</v>
      </c>
      <c r="E536" s="35" t="s">
        <v>34</v>
      </c>
      <c r="F536" s="35" t="s">
        <v>15</v>
      </c>
      <c r="G536" s="35"/>
      <c r="H536" s="37" t="n">
        <f aca="false">IFERROR(VLOOKUP(D536,Settings!$A$5:$C$14,3,FALSE()),"")</f>
        <v>5</v>
      </c>
      <c r="I536" s="37" t="n">
        <f aca="false">IF(C536="","",C536-B536)</f>
        <v>5</v>
      </c>
      <c r="J536" s="38" t="str">
        <f aca="false">IF(I536="","",IF(I536&gt;H536,"Delayed","On Time"))</f>
        <v>On Time</v>
      </c>
      <c r="K536" s="37" t="str">
        <f aca="false">IF(J536="Delayed",I536-H536,"")</f>
        <v/>
      </c>
    </row>
    <row r="537" customFormat="false" ht="15" hidden="false" customHeight="false" outlineLevel="0" collapsed="false">
      <c r="A537" s="35" t="s">
        <v>601</v>
      </c>
      <c r="B537" s="36" t="n">
        <v>46265</v>
      </c>
      <c r="C537" s="36" t="n">
        <v>46268</v>
      </c>
      <c r="D537" s="35" t="s">
        <v>48</v>
      </c>
      <c r="E537" s="35" t="s">
        <v>33</v>
      </c>
      <c r="F537" s="35" t="s">
        <v>15</v>
      </c>
      <c r="G537" s="35"/>
      <c r="H537" s="37" t="n">
        <f aca="false">IFERROR(VLOOKUP(D537,Settings!$A$5:$C$14,3,FALSE()),"")</f>
        <v>3</v>
      </c>
      <c r="I537" s="37" t="n">
        <f aca="false">IF(C537="","",C537-B537)</f>
        <v>3</v>
      </c>
      <c r="J537" s="38" t="str">
        <f aca="false">IF(I537="","",IF(I537&gt;H537,"Delayed","On Time"))</f>
        <v>On Time</v>
      </c>
      <c r="K537" s="37" t="str">
        <f aca="false">IF(J537="Delayed",I537-H537,"")</f>
        <v/>
      </c>
    </row>
    <row r="538" customFormat="false" ht="15" hidden="false" customHeight="false" outlineLevel="0" collapsed="false">
      <c r="A538" s="35" t="s">
        <v>602</v>
      </c>
      <c r="B538" s="36" t="n">
        <v>46265</v>
      </c>
      <c r="C538" s="36" t="n">
        <v>46268</v>
      </c>
      <c r="D538" s="35" t="s">
        <v>50</v>
      </c>
      <c r="E538" s="35" t="s">
        <v>33</v>
      </c>
      <c r="F538" s="35" t="s">
        <v>15</v>
      </c>
      <c r="G538" s="35"/>
      <c r="H538" s="37" t="n">
        <f aca="false">IFERROR(VLOOKUP(D538,Settings!$A$5:$C$14,3,FALSE()),"")</f>
        <v>3</v>
      </c>
      <c r="I538" s="37" t="n">
        <f aca="false">IF(C538="","",C538-B538)</f>
        <v>3</v>
      </c>
      <c r="J538" s="38" t="str">
        <f aca="false">IF(I538="","",IF(I538&gt;H538,"Delayed","On Time"))</f>
        <v>On Time</v>
      </c>
      <c r="K538" s="37" t="str">
        <f aca="false">IF(J538="Delayed",I538-H538,"")</f>
        <v/>
      </c>
    </row>
    <row r="539" customFormat="false" ht="15" hidden="false" customHeight="false" outlineLevel="0" collapsed="false">
      <c r="A539" s="35" t="s">
        <v>603</v>
      </c>
      <c r="B539" s="36" t="n">
        <v>46265</v>
      </c>
      <c r="C539" s="36" t="n">
        <v>46271</v>
      </c>
      <c r="D539" s="35" t="s">
        <v>54</v>
      </c>
      <c r="E539" s="35" t="s">
        <v>36</v>
      </c>
      <c r="F539" s="35" t="s">
        <v>15</v>
      </c>
      <c r="G539" s="35"/>
      <c r="H539" s="37" t="n">
        <f aca="false">IFERROR(VLOOKUP(D539,Settings!$A$5:$C$14,3,FALSE()),"")</f>
        <v>5</v>
      </c>
      <c r="I539" s="37" t="n">
        <f aca="false">IF(C539="","",C539-B539)</f>
        <v>6</v>
      </c>
      <c r="J539" s="38" t="str">
        <f aca="false">IF(I539="","",IF(I539&gt;H539,"Delayed","On Time"))</f>
        <v>Delayed</v>
      </c>
      <c r="K539" s="37" t="n">
        <f aca="false">IF(J539="Delayed",I539-H539,"")</f>
        <v>1</v>
      </c>
    </row>
    <row r="540" customFormat="false" ht="15" hidden="false" customHeight="false" outlineLevel="0" collapsed="false">
      <c r="A540" s="35" t="s">
        <v>604</v>
      </c>
      <c r="B540" s="36" t="n">
        <v>46265</v>
      </c>
      <c r="C540" s="36" t="n">
        <v>46269</v>
      </c>
      <c r="D540" s="35" t="s">
        <v>48</v>
      </c>
      <c r="E540" s="35" t="s">
        <v>35</v>
      </c>
      <c r="F540" s="35" t="s">
        <v>15</v>
      </c>
      <c r="G540" s="35"/>
      <c r="H540" s="37" t="n">
        <f aca="false">IFERROR(VLOOKUP(D540,Settings!$A$5:$C$14,3,FALSE()),"")</f>
        <v>3</v>
      </c>
      <c r="I540" s="37" t="n">
        <f aca="false">IF(C540="","",C540-B540)</f>
        <v>4</v>
      </c>
      <c r="J540" s="38" t="str">
        <f aca="false">IF(I540="","",IF(I540&gt;H540,"Delayed","On Time"))</f>
        <v>Delayed</v>
      </c>
      <c r="K540" s="37" t="n">
        <f aca="false">IF(J540="Delayed",I540-H540,"")</f>
        <v>1</v>
      </c>
    </row>
    <row r="541" customFormat="false" ht="15" hidden="false" customHeight="false" outlineLevel="0" collapsed="false">
      <c r="A541" s="35" t="s">
        <v>605</v>
      </c>
      <c r="B541" s="36" t="n">
        <v>46265</v>
      </c>
      <c r="C541" s="36" t="n">
        <v>46268</v>
      </c>
      <c r="D541" s="35" t="s">
        <v>44</v>
      </c>
      <c r="E541" s="35" t="s">
        <v>33</v>
      </c>
      <c r="F541" s="35" t="s">
        <v>15</v>
      </c>
      <c r="G541" s="35"/>
      <c r="H541" s="37" t="n">
        <f aca="false">IFERROR(VLOOKUP(D541,Settings!$A$5:$C$14,3,FALSE()),"")</f>
        <v>3</v>
      </c>
      <c r="I541" s="37" t="n">
        <f aca="false">IF(C541="","",C541-B541)</f>
        <v>3</v>
      </c>
      <c r="J541" s="38" t="str">
        <f aca="false">IF(I541="","",IF(I541&gt;H541,"Delayed","On Time"))</f>
        <v>On Time</v>
      </c>
      <c r="K541" s="37" t="str">
        <f aca="false">IF(J541="Delayed",I541-H541,"")</f>
        <v/>
      </c>
    </row>
    <row r="542" customFormat="false" ht="15" hidden="false" customHeight="false" outlineLevel="0" collapsed="false">
      <c r="A542" s="35" t="s">
        <v>606</v>
      </c>
      <c r="B542" s="36" t="n">
        <v>46265</v>
      </c>
      <c r="C542" s="36" t="n">
        <v>46268</v>
      </c>
      <c r="D542" s="35" t="s">
        <v>44</v>
      </c>
      <c r="E542" s="35" t="s">
        <v>35</v>
      </c>
      <c r="F542" s="35" t="s">
        <v>15</v>
      </c>
      <c r="G542" s="35"/>
      <c r="H542" s="37" t="n">
        <f aca="false">IFERROR(VLOOKUP(D542,Settings!$A$5:$C$14,3,FALSE()),"")</f>
        <v>3</v>
      </c>
      <c r="I542" s="37" t="n">
        <f aca="false">IF(C542="","",C542-B542)</f>
        <v>3</v>
      </c>
      <c r="J542" s="38" t="str">
        <f aca="false">IF(I542="","",IF(I542&gt;H542,"Delayed","On Time"))</f>
        <v>On Time</v>
      </c>
      <c r="K542" s="37" t="str">
        <f aca="false">IF(J542="Delayed",I542-H542,"")</f>
        <v/>
      </c>
    </row>
    <row r="543" customFormat="false" ht="15" hidden="false" customHeight="false" outlineLevel="0" collapsed="false">
      <c r="A543" s="35" t="s">
        <v>607</v>
      </c>
      <c r="B543" s="36" t="n">
        <v>46265</v>
      </c>
      <c r="C543" s="36" t="n">
        <v>46268</v>
      </c>
      <c r="D543" s="35" t="s">
        <v>44</v>
      </c>
      <c r="E543" s="35" t="s">
        <v>35</v>
      </c>
      <c r="F543" s="35" t="s">
        <v>15</v>
      </c>
      <c r="G543" s="35"/>
      <c r="H543" s="37" t="n">
        <f aca="false">IFERROR(VLOOKUP(D543,Settings!$A$5:$C$14,3,FALSE()),"")</f>
        <v>3</v>
      </c>
      <c r="I543" s="37" t="n">
        <f aca="false">IF(C543="","",C543-B543)</f>
        <v>3</v>
      </c>
      <c r="J543" s="38" t="str">
        <f aca="false">IF(I543="","",IF(I543&gt;H543,"Delayed","On Time"))</f>
        <v>On Time</v>
      </c>
      <c r="K543" s="37" t="str">
        <f aca="false">IF(J543="Delayed",I543-H543,"")</f>
        <v/>
      </c>
    </row>
    <row r="544" customFormat="false" ht="15" hidden="false" customHeight="false" outlineLevel="0" collapsed="false">
      <c r="A544" s="35" t="s">
        <v>608</v>
      </c>
      <c r="B544" s="36" t="n">
        <v>46265</v>
      </c>
      <c r="C544" s="36" t="n">
        <v>46268</v>
      </c>
      <c r="D544" s="35" t="s">
        <v>44</v>
      </c>
      <c r="E544" s="35" t="s">
        <v>33</v>
      </c>
      <c r="F544" s="35" t="s">
        <v>15</v>
      </c>
      <c r="G544" s="35"/>
      <c r="H544" s="37" t="n">
        <f aca="false">IFERROR(VLOOKUP(D544,Settings!$A$5:$C$14,3,FALSE()),"")</f>
        <v>3</v>
      </c>
      <c r="I544" s="37" t="n">
        <f aca="false">IF(C544="","",C544-B544)</f>
        <v>3</v>
      </c>
      <c r="J544" s="38" t="str">
        <f aca="false">IF(I544="","",IF(I544&gt;H544,"Delayed","On Time"))</f>
        <v>On Time</v>
      </c>
      <c r="K544" s="37" t="str">
        <f aca="false">IF(J544="Delayed",I544-H544,"")</f>
        <v/>
      </c>
    </row>
    <row r="545" customFormat="false" ht="15" hidden="false" customHeight="false" outlineLevel="0" collapsed="false">
      <c r="A545" s="35" t="s">
        <v>609</v>
      </c>
      <c r="B545" s="36" t="n">
        <v>46265</v>
      </c>
      <c r="C545" s="36" t="n">
        <v>46267</v>
      </c>
      <c r="D545" s="35" t="s">
        <v>50</v>
      </c>
      <c r="E545" s="35" t="s">
        <v>34</v>
      </c>
      <c r="F545" s="35" t="s">
        <v>15</v>
      </c>
      <c r="G545" s="35"/>
      <c r="H545" s="37" t="n">
        <f aca="false">IFERROR(VLOOKUP(D545,Settings!$A$5:$C$14,3,FALSE()),"")</f>
        <v>3</v>
      </c>
      <c r="I545" s="37" t="n">
        <f aca="false">IF(C545="","",C545-B545)</f>
        <v>2</v>
      </c>
      <c r="J545" s="38" t="str">
        <f aca="false">IF(I545="","",IF(I545&gt;H545,"Delayed","On Time"))</f>
        <v>On Time</v>
      </c>
      <c r="K545" s="37" t="str">
        <f aca="false">IF(J545="Delayed",I545-H545,"")</f>
        <v/>
      </c>
    </row>
    <row r="546" customFormat="false" ht="15" hidden="false" customHeight="false" outlineLevel="0" collapsed="false">
      <c r="A546" s="35" t="s">
        <v>610</v>
      </c>
      <c r="B546" s="36" t="n">
        <v>46265</v>
      </c>
      <c r="C546" s="36" t="n">
        <v>46269</v>
      </c>
      <c r="D546" s="35" t="s">
        <v>54</v>
      </c>
      <c r="E546" s="35" t="s">
        <v>33</v>
      </c>
      <c r="F546" s="35" t="s">
        <v>15</v>
      </c>
      <c r="G546" s="35"/>
      <c r="H546" s="37" t="n">
        <f aca="false">IFERROR(VLOOKUP(D546,Settings!$A$5:$C$14,3,FALSE()),"")</f>
        <v>5</v>
      </c>
      <c r="I546" s="37" t="n">
        <f aca="false">IF(C546="","",C546-B546)</f>
        <v>4</v>
      </c>
      <c r="J546" s="38" t="str">
        <f aca="false">IF(I546="","",IF(I546&gt;H546,"Delayed","On Time"))</f>
        <v>On Time</v>
      </c>
      <c r="K546" s="37" t="str">
        <f aca="false">IF(J546="Delayed",I546-H546,"")</f>
        <v/>
      </c>
    </row>
    <row r="547" customFormat="false" ht="15" hidden="false" customHeight="false" outlineLevel="0" collapsed="false">
      <c r="A547" s="35" t="s">
        <v>611</v>
      </c>
      <c r="B547" s="36" t="n">
        <v>46265</v>
      </c>
      <c r="C547" s="36" t="n">
        <v>46269</v>
      </c>
      <c r="D547" s="35" t="s">
        <v>46</v>
      </c>
      <c r="E547" s="35" t="s">
        <v>35</v>
      </c>
      <c r="F547" s="35" t="s">
        <v>15</v>
      </c>
      <c r="G547" s="35"/>
      <c r="H547" s="37" t="n">
        <f aca="false">IFERROR(VLOOKUP(D547,Settings!$A$5:$C$14,3,FALSE()),"")</f>
        <v>3</v>
      </c>
      <c r="I547" s="37" t="n">
        <f aca="false">IF(C547="","",C547-B547)</f>
        <v>4</v>
      </c>
      <c r="J547" s="38" t="str">
        <f aca="false">IF(I547="","",IF(I547&gt;H547,"Delayed","On Time"))</f>
        <v>Delayed</v>
      </c>
      <c r="K547" s="37" t="n">
        <f aca="false">IF(J547="Delayed",I547-H547,"")</f>
        <v>1</v>
      </c>
    </row>
    <row r="548" customFormat="false" ht="15" hidden="false" customHeight="false" outlineLevel="0" collapsed="false">
      <c r="A548" s="35" t="s">
        <v>612</v>
      </c>
      <c r="B548" s="36" t="n">
        <v>46265</v>
      </c>
      <c r="C548" s="36" t="n">
        <v>46269</v>
      </c>
      <c r="D548" s="35" t="s">
        <v>44</v>
      </c>
      <c r="E548" s="35" t="s">
        <v>35</v>
      </c>
      <c r="F548" s="35" t="s">
        <v>15</v>
      </c>
      <c r="G548" s="35"/>
      <c r="H548" s="37" t="n">
        <f aca="false">IFERROR(VLOOKUP(D548,Settings!$A$5:$C$14,3,FALSE()),"")</f>
        <v>3</v>
      </c>
      <c r="I548" s="37" t="n">
        <f aca="false">IF(C548="","",C548-B548)</f>
        <v>4</v>
      </c>
      <c r="J548" s="38" t="str">
        <f aca="false">IF(I548="","",IF(I548&gt;H548,"Delayed","On Time"))</f>
        <v>Delayed</v>
      </c>
      <c r="K548" s="37" t="n">
        <f aca="false">IF(J548="Delayed",I548-H548,"")</f>
        <v>1</v>
      </c>
    </row>
    <row r="549" customFormat="false" ht="15" hidden="false" customHeight="false" outlineLevel="0" collapsed="false">
      <c r="A549" s="35" t="s">
        <v>613</v>
      </c>
      <c r="B549" s="36" t="n">
        <v>46265</v>
      </c>
      <c r="C549" s="36" t="n">
        <v>46271</v>
      </c>
      <c r="D549" s="35" t="s">
        <v>55</v>
      </c>
      <c r="E549" s="35" t="s">
        <v>34</v>
      </c>
      <c r="F549" s="35" t="s">
        <v>15</v>
      </c>
      <c r="G549" s="35"/>
      <c r="H549" s="37" t="n">
        <f aca="false">IFERROR(VLOOKUP(D549,Settings!$A$5:$C$14,3,FALSE()),"")</f>
        <v>5</v>
      </c>
      <c r="I549" s="37" t="n">
        <f aca="false">IF(C549="","",C549-B549)</f>
        <v>6</v>
      </c>
      <c r="J549" s="38" t="str">
        <f aca="false">IF(I549="","",IF(I549&gt;H549,"Delayed","On Time"))</f>
        <v>Delayed</v>
      </c>
      <c r="K549" s="37" t="n">
        <f aca="false">IF(J549="Delayed",I549-H549,"")</f>
        <v>1</v>
      </c>
    </row>
    <row r="550" customFormat="false" ht="15" hidden="false" customHeight="false" outlineLevel="0" collapsed="false">
      <c r="A550" s="35" t="s">
        <v>614</v>
      </c>
      <c r="B550" s="36" t="n">
        <v>46265</v>
      </c>
      <c r="C550" s="36" t="n">
        <v>46268</v>
      </c>
      <c r="D550" s="35" t="s">
        <v>46</v>
      </c>
      <c r="E550" s="35" t="s">
        <v>36</v>
      </c>
      <c r="F550" s="35" t="s">
        <v>15</v>
      </c>
      <c r="G550" s="35"/>
      <c r="H550" s="37" t="n">
        <f aca="false">IFERROR(VLOOKUP(D550,Settings!$A$5:$C$14,3,FALSE()),"")</f>
        <v>3</v>
      </c>
      <c r="I550" s="37" t="n">
        <f aca="false">IF(C550="","",C550-B550)</f>
        <v>3</v>
      </c>
      <c r="J550" s="38" t="str">
        <f aca="false">IF(I550="","",IF(I550&gt;H550,"Delayed","On Time"))</f>
        <v>On Time</v>
      </c>
      <c r="K550" s="37" t="str">
        <f aca="false">IF(J550="Delayed",I550-H550,"")</f>
        <v/>
      </c>
    </row>
    <row r="551" customFormat="false" ht="15" hidden="false" customHeight="false" outlineLevel="0" collapsed="false">
      <c r="A551" s="35" t="s">
        <v>615</v>
      </c>
      <c r="B551" s="36" t="n">
        <v>46266</v>
      </c>
      <c r="C551" s="36" t="n">
        <v>46272</v>
      </c>
      <c r="D551" s="35" t="s">
        <v>46</v>
      </c>
      <c r="E551" s="35" t="s">
        <v>34</v>
      </c>
      <c r="F551" s="35" t="s">
        <v>15</v>
      </c>
      <c r="G551" s="35"/>
      <c r="H551" s="37" t="n">
        <f aca="false">IFERROR(VLOOKUP(D551,Settings!$A$5:$C$14,3,FALSE()),"")</f>
        <v>3</v>
      </c>
      <c r="I551" s="37" t="n">
        <f aca="false">IF(C551="","",C551-B551)</f>
        <v>6</v>
      </c>
      <c r="J551" s="38" t="str">
        <f aca="false">IF(I551="","",IF(I551&gt;H551,"Delayed","On Time"))</f>
        <v>Delayed</v>
      </c>
      <c r="K551" s="37" t="n">
        <f aca="false">IF(J551="Delayed",I551-H551,"")</f>
        <v>3</v>
      </c>
    </row>
    <row r="552" customFormat="false" ht="15" hidden="false" customHeight="false" outlineLevel="0" collapsed="false">
      <c r="A552" s="35" t="s">
        <v>616</v>
      </c>
      <c r="B552" s="36" t="n">
        <v>46266</v>
      </c>
      <c r="C552" s="36" t="n">
        <v>46269</v>
      </c>
      <c r="D552" s="35" t="s">
        <v>46</v>
      </c>
      <c r="E552" s="35" t="s">
        <v>34</v>
      </c>
      <c r="F552" s="35" t="s">
        <v>17</v>
      </c>
      <c r="G552" s="35" t="s">
        <v>43</v>
      </c>
      <c r="H552" s="37" t="n">
        <f aca="false">IFERROR(VLOOKUP(D552,Settings!$A$5:$C$14,3,FALSE()),"")</f>
        <v>3</v>
      </c>
      <c r="I552" s="37" t="n">
        <f aca="false">IF(C552="","",C552-B552)</f>
        <v>3</v>
      </c>
      <c r="J552" s="38" t="str">
        <f aca="false">IF(I552="","",IF(I552&gt;H552,"Delayed","On Time"))</f>
        <v>On Time</v>
      </c>
      <c r="K552" s="37" t="str">
        <f aca="false">IF(J552="Delayed",I552-H552,"")</f>
        <v/>
      </c>
    </row>
    <row r="553" customFormat="false" ht="15" hidden="false" customHeight="false" outlineLevel="0" collapsed="false">
      <c r="A553" s="35" t="s">
        <v>617</v>
      </c>
      <c r="B553" s="36" t="n">
        <v>46266</v>
      </c>
      <c r="C553" s="36" t="n">
        <v>46270</v>
      </c>
      <c r="D553" s="35" t="s">
        <v>46</v>
      </c>
      <c r="E553" s="35" t="s">
        <v>36</v>
      </c>
      <c r="F553" s="35" t="s">
        <v>15</v>
      </c>
      <c r="G553" s="35"/>
      <c r="H553" s="37" t="n">
        <f aca="false">IFERROR(VLOOKUP(D553,Settings!$A$5:$C$14,3,FALSE()),"")</f>
        <v>3</v>
      </c>
      <c r="I553" s="37" t="n">
        <f aca="false">IF(C553="","",C553-B553)</f>
        <v>4</v>
      </c>
      <c r="J553" s="38" t="str">
        <f aca="false">IF(I553="","",IF(I553&gt;H553,"Delayed","On Time"))</f>
        <v>Delayed</v>
      </c>
      <c r="K553" s="37" t="n">
        <f aca="false">IF(J553="Delayed",I553-H553,"")</f>
        <v>1</v>
      </c>
    </row>
    <row r="554" customFormat="false" ht="15" hidden="false" customHeight="false" outlineLevel="0" collapsed="false">
      <c r="A554" s="35" t="s">
        <v>618</v>
      </c>
      <c r="B554" s="36" t="n">
        <v>46266</v>
      </c>
      <c r="C554" s="36" t="n">
        <v>46270</v>
      </c>
      <c r="D554" s="35" t="s">
        <v>46</v>
      </c>
      <c r="E554" s="35" t="s">
        <v>35</v>
      </c>
      <c r="F554" s="35" t="s">
        <v>17</v>
      </c>
      <c r="G554" s="35" t="s">
        <v>49</v>
      </c>
      <c r="H554" s="37" t="n">
        <f aca="false">IFERROR(VLOOKUP(D554,Settings!$A$5:$C$14,3,FALSE()),"")</f>
        <v>3</v>
      </c>
      <c r="I554" s="37" t="n">
        <f aca="false">IF(C554="","",C554-B554)</f>
        <v>4</v>
      </c>
      <c r="J554" s="38" t="str">
        <f aca="false">IF(I554="","",IF(I554&gt;H554,"Delayed","On Time"))</f>
        <v>Delayed</v>
      </c>
      <c r="K554" s="37" t="n">
        <f aca="false">IF(J554="Delayed",I554-H554,"")</f>
        <v>1</v>
      </c>
    </row>
    <row r="555" customFormat="false" ht="15" hidden="false" customHeight="false" outlineLevel="0" collapsed="false">
      <c r="A555" s="35" t="s">
        <v>619</v>
      </c>
      <c r="B555" s="36" t="n">
        <v>46266</v>
      </c>
      <c r="C555" s="36" t="n">
        <v>46270</v>
      </c>
      <c r="D555" s="35" t="s">
        <v>50</v>
      </c>
      <c r="E555" s="35" t="s">
        <v>34</v>
      </c>
      <c r="F555" s="35" t="s">
        <v>15</v>
      </c>
      <c r="G555" s="35"/>
      <c r="H555" s="37" t="n">
        <f aca="false">IFERROR(VLOOKUP(D555,Settings!$A$5:$C$14,3,FALSE()),"")</f>
        <v>3</v>
      </c>
      <c r="I555" s="37" t="n">
        <f aca="false">IF(C555="","",C555-B555)</f>
        <v>4</v>
      </c>
      <c r="J555" s="38" t="str">
        <f aca="false">IF(I555="","",IF(I555&gt;H555,"Delayed","On Time"))</f>
        <v>Delayed</v>
      </c>
      <c r="K555" s="37" t="n">
        <f aca="false">IF(J555="Delayed",I555-H555,"")</f>
        <v>1</v>
      </c>
    </row>
    <row r="556" customFormat="false" ht="15" hidden="false" customHeight="false" outlineLevel="0" collapsed="false">
      <c r="A556" s="35" t="s">
        <v>620</v>
      </c>
      <c r="B556" s="36" t="n">
        <v>46267</v>
      </c>
      <c r="C556" s="36" t="n">
        <v>46272</v>
      </c>
      <c r="D556" s="35" t="s">
        <v>44</v>
      </c>
      <c r="E556" s="35" t="s">
        <v>34</v>
      </c>
      <c r="F556" s="35" t="s">
        <v>15</v>
      </c>
      <c r="G556" s="35"/>
      <c r="H556" s="37" t="n">
        <f aca="false">IFERROR(VLOOKUP(D556,Settings!$A$5:$C$14,3,FALSE()),"")</f>
        <v>3</v>
      </c>
      <c r="I556" s="37" t="n">
        <f aca="false">IF(C556="","",C556-B556)</f>
        <v>5</v>
      </c>
      <c r="J556" s="38" t="str">
        <f aca="false">IF(I556="","",IF(I556&gt;H556,"Delayed","On Time"))</f>
        <v>Delayed</v>
      </c>
      <c r="K556" s="37" t="n">
        <f aca="false">IF(J556="Delayed",I556-H556,"")</f>
        <v>2</v>
      </c>
    </row>
    <row r="557" customFormat="false" ht="15" hidden="false" customHeight="false" outlineLevel="0" collapsed="false">
      <c r="A557" s="35" t="s">
        <v>621</v>
      </c>
      <c r="B557" s="36" t="n">
        <v>46267</v>
      </c>
      <c r="C557" s="36" t="n">
        <v>46271</v>
      </c>
      <c r="D557" s="35" t="s">
        <v>46</v>
      </c>
      <c r="E557" s="35" t="s">
        <v>35</v>
      </c>
      <c r="F557" s="35" t="s">
        <v>15</v>
      </c>
      <c r="G557" s="35"/>
      <c r="H557" s="37" t="n">
        <f aca="false">IFERROR(VLOOKUP(D557,Settings!$A$5:$C$14,3,FALSE()),"")</f>
        <v>3</v>
      </c>
      <c r="I557" s="37" t="n">
        <f aca="false">IF(C557="","",C557-B557)</f>
        <v>4</v>
      </c>
      <c r="J557" s="38" t="str">
        <f aca="false">IF(I557="","",IF(I557&gt;H557,"Delayed","On Time"))</f>
        <v>Delayed</v>
      </c>
      <c r="K557" s="37" t="n">
        <f aca="false">IF(J557="Delayed",I557-H557,"")</f>
        <v>1</v>
      </c>
    </row>
    <row r="558" customFormat="false" ht="15" hidden="false" customHeight="false" outlineLevel="0" collapsed="false">
      <c r="A558" s="35" t="s">
        <v>622</v>
      </c>
      <c r="B558" s="36" t="n">
        <v>46267</v>
      </c>
      <c r="C558" s="36" t="n">
        <v>46270</v>
      </c>
      <c r="D558" s="35" t="s">
        <v>46</v>
      </c>
      <c r="E558" s="35" t="s">
        <v>33</v>
      </c>
      <c r="F558" s="35" t="s">
        <v>15</v>
      </c>
      <c r="G558" s="35"/>
      <c r="H558" s="37" t="n">
        <f aca="false">IFERROR(VLOOKUP(D558,Settings!$A$5:$C$14,3,FALSE()),"")</f>
        <v>3</v>
      </c>
      <c r="I558" s="37" t="n">
        <f aca="false">IF(C558="","",C558-B558)</f>
        <v>3</v>
      </c>
      <c r="J558" s="38" t="str">
        <f aca="false">IF(I558="","",IF(I558&gt;H558,"Delayed","On Time"))</f>
        <v>On Time</v>
      </c>
      <c r="K558" s="37" t="str">
        <f aca="false">IF(J558="Delayed",I558-H558,"")</f>
        <v/>
      </c>
    </row>
    <row r="559" customFormat="false" ht="15" hidden="false" customHeight="false" outlineLevel="0" collapsed="false">
      <c r="A559" s="35" t="s">
        <v>623</v>
      </c>
      <c r="B559" s="36" t="n">
        <v>46267</v>
      </c>
      <c r="C559" s="36" t="n">
        <v>46272</v>
      </c>
      <c r="D559" s="35" t="s">
        <v>44</v>
      </c>
      <c r="E559" s="35" t="s">
        <v>36</v>
      </c>
      <c r="F559" s="35" t="s">
        <v>15</v>
      </c>
      <c r="G559" s="35"/>
      <c r="H559" s="37" t="n">
        <f aca="false">IFERROR(VLOOKUP(D559,Settings!$A$5:$C$14,3,FALSE()),"")</f>
        <v>3</v>
      </c>
      <c r="I559" s="37" t="n">
        <f aca="false">IF(C559="","",C559-B559)</f>
        <v>5</v>
      </c>
      <c r="J559" s="38" t="str">
        <f aca="false">IF(I559="","",IF(I559&gt;H559,"Delayed","On Time"))</f>
        <v>Delayed</v>
      </c>
      <c r="K559" s="37" t="n">
        <f aca="false">IF(J559="Delayed",I559-H559,"")</f>
        <v>2</v>
      </c>
    </row>
    <row r="560" customFormat="false" ht="15" hidden="false" customHeight="false" outlineLevel="0" collapsed="false">
      <c r="A560" s="35" t="s">
        <v>624</v>
      </c>
      <c r="B560" s="36" t="n">
        <v>46267</v>
      </c>
      <c r="C560" s="36" t="n">
        <v>46272</v>
      </c>
      <c r="D560" s="35" t="s">
        <v>48</v>
      </c>
      <c r="E560" s="35" t="s">
        <v>35</v>
      </c>
      <c r="F560" s="35" t="s">
        <v>15</v>
      </c>
      <c r="G560" s="35"/>
      <c r="H560" s="37" t="n">
        <f aca="false">IFERROR(VLOOKUP(D560,Settings!$A$5:$C$14,3,FALSE()),"")</f>
        <v>3</v>
      </c>
      <c r="I560" s="37" t="n">
        <f aca="false">IF(C560="","",C560-B560)</f>
        <v>5</v>
      </c>
      <c r="J560" s="38" t="str">
        <f aca="false">IF(I560="","",IF(I560&gt;H560,"Delayed","On Time"))</f>
        <v>Delayed</v>
      </c>
      <c r="K560" s="37" t="n">
        <f aca="false">IF(J560="Delayed",I560-H560,"")</f>
        <v>2</v>
      </c>
    </row>
    <row r="561" customFormat="false" ht="15" hidden="false" customHeight="false" outlineLevel="0" collapsed="false">
      <c r="A561" s="35" t="s">
        <v>625</v>
      </c>
      <c r="B561" s="36" t="n">
        <v>46267</v>
      </c>
      <c r="C561" s="36" t="n">
        <v>46274</v>
      </c>
      <c r="D561" s="35" t="s">
        <v>57</v>
      </c>
      <c r="E561" s="35" t="s">
        <v>36</v>
      </c>
      <c r="F561" s="35" t="s">
        <v>15</v>
      </c>
      <c r="G561" s="35"/>
      <c r="H561" s="37" t="n">
        <f aca="false">IFERROR(VLOOKUP(D561,Settings!$A$5:$C$14,3,FALSE()),"")</f>
        <v>7</v>
      </c>
      <c r="I561" s="37" t="n">
        <f aca="false">IF(C561="","",C561-B561)</f>
        <v>7</v>
      </c>
      <c r="J561" s="38" t="str">
        <f aca="false">IF(I561="","",IF(I561&gt;H561,"Delayed","On Time"))</f>
        <v>On Time</v>
      </c>
      <c r="K561" s="37" t="str">
        <f aca="false">IF(J561="Delayed",I561-H561,"")</f>
        <v/>
      </c>
    </row>
    <row r="562" customFormat="false" ht="15" hidden="false" customHeight="false" outlineLevel="0" collapsed="false">
      <c r="A562" s="35" t="s">
        <v>626</v>
      </c>
      <c r="B562" s="36" t="n">
        <v>46267</v>
      </c>
      <c r="C562" s="36" t="n">
        <v>46272</v>
      </c>
      <c r="D562" s="35" t="s">
        <v>55</v>
      </c>
      <c r="E562" s="35" t="s">
        <v>33</v>
      </c>
      <c r="F562" s="35" t="s">
        <v>15</v>
      </c>
      <c r="G562" s="35"/>
      <c r="H562" s="37" t="n">
        <f aca="false">IFERROR(VLOOKUP(D562,Settings!$A$5:$C$14,3,FALSE()),"")</f>
        <v>5</v>
      </c>
      <c r="I562" s="37" t="n">
        <f aca="false">IF(C562="","",C562-B562)</f>
        <v>5</v>
      </c>
      <c r="J562" s="38" t="str">
        <f aca="false">IF(I562="","",IF(I562&gt;H562,"Delayed","On Time"))</f>
        <v>On Time</v>
      </c>
      <c r="K562" s="37" t="str">
        <f aca="false">IF(J562="Delayed",I562-H562,"")</f>
        <v/>
      </c>
    </row>
    <row r="563" customFormat="false" ht="15" hidden="false" customHeight="false" outlineLevel="0" collapsed="false">
      <c r="A563" s="35" t="s">
        <v>627</v>
      </c>
      <c r="B563" s="36" t="n">
        <v>46267</v>
      </c>
      <c r="C563" s="36" t="n">
        <v>46271</v>
      </c>
      <c r="D563" s="35" t="s">
        <v>54</v>
      </c>
      <c r="E563" s="35" t="s">
        <v>33</v>
      </c>
      <c r="F563" s="35" t="s">
        <v>15</v>
      </c>
      <c r="G563" s="35"/>
      <c r="H563" s="37" t="n">
        <f aca="false">IFERROR(VLOOKUP(D563,Settings!$A$5:$C$14,3,FALSE()),"")</f>
        <v>5</v>
      </c>
      <c r="I563" s="37" t="n">
        <f aca="false">IF(C563="","",C563-B563)</f>
        <v>4</v>
      </c>
      <c r="J563" s="38" t="str">
        <f aca="false">IF(I563="","",IF(I563&gt;H563,"Delayed","On Time"))</f>
        <v>On Time</v>
      </c>
      <c r="K563" s="37" t="str">
        <f aca="false">IF(J563="Delayed",I563-H563,"")</f>
        <v/>
      </c>
    </row>
    <row r="564" customFormat="false" ht="15" hidden="false" customHeight="false" outlineLevel="0" collapsed="false">
      <c r="A564" s="35" t="s">
        <v>628</v>
      </c>
      <c r="B564" s="36" t="n">
        <v>46267</v>
      </c>
      <c r="C564" s="36" t="n">
        <v>46269</v>
      </c>
      <c r="D564" s="35" t="s">
        <v>46</v>
      </c>
      <c r="E564" s="35" t="s">
        <v>33</v>
      </c>
      <c r="F564" s="35" t="s">
        <v>15</v>
      </c>
      <c r="G564" s="35"/>
      <c r="H564" s="37" t="n">
        <f aca="false">IFERROR(VLOOKUP(D564,Settings!$A$5:$C$14,3,FALSE()),"")</f>
        <v>3</v>
      </c>
      <c r="I564" s="37" t="n">
        <f aca="false">IF(C564="","",C564-B564)</f>
        <v>2</v>
      </c>
      <c r="J564" s="38" t="str">
        <f aca="false">IF(I564="","",IF(I564&gt;H564,"Delayed","On Time"))</f>
        <v>On Time</v>
      </c>
      <c r="K564" s="37" t="str">
        <f aca="false">IF(J564="Delayed",I564-H564,"")</f>
        <v/>
      </c>
    </row>
    <row r="565" customFormat="false" ht="15" hidden="false" customHeight="false" outlineLevel="0" collapsed="false">
      <c r="A565" s="35" t="s">
        <v>629</v>
      </c>
      <c r="B565" s="36" t="n">
        <v>46267</v>
      </c>
      <c r="C565" s="36" t="n">
        <v>46271</v>
      </c>
      <c r="D565" s="35" t="s">
        <v>52</v>
      </c>
      <c r="E565" s="35" t="s">
        <v>34</v>
      </c>
      <c r="F565" s="35" t="s">
        <v>15</v>
      </c>
      <c r="G565" s="35"/>
      <c r="H565" s="37" t="n">
        <f aca="false">IFERROR(VLOOKUP(D565,Settings!$A$5:$C$14,3,FALSE()),"")</f>
        <v>4</v>
      </c>
      <c r="I565" s="37" t="n">
        <f aca="false">IF(C565="","",C565-B565)</f>
        <v>4</v>
      </c>
      <c r="J565" s="38" t="str">
        <f aca="false">IF(I565="","",IF(I565&gt;H565,"Delayed","On Time"))</f>
        <v>On Time</v>
      </c>
      <c r="K565" s="37" t="str">
        <f aca="false">IF(J565="Delayed",I565-H565,"")</f>
        <v/>
      </c>
    </row>
    <row r="566" customFormat="false" ht="15" hidden="false" customHeight="false" outlineLevel="0" collapsed="false">
      <c r="A566" s="35" t="s">
        <v>630</v>
      </c>
      <c r="B566" s="36" t="n">
        <v>46268</v>
      </c>
      <c r="C566" s="36" t="n">
        <v>46272</v>
      </c>
      <c r="D566" s="35" t="s">
        <v>46</v>
      </c>
      <c r="E566" s="35" t="s">
        <v>34</v>
      </c>
      <c r="F566" s="35" t="s">
        <v>15</v>
      </c>
      <c r="G566" s="35"/>
      <c r="H566" s="37" t="n">
        <f aca="false">IFERROR(VLOOKUP(D566,Settings!$A$5:$C$14,3,FALSE()),"")</f>
        <v>3</v>
      </c>
      <c r="I566" s="37" t="n">
        <f aca="false">IF(C566="","",C566-B566)</f>
        <v>4</v>
      </c>
      <c r="J566" s="38" t="str">
        <f aca="false">IF(I566="","",IF(I566&gt;H566,"Delayed","On Time"))</f>
        <v>Delayed</v>
      </c>
      <c r="K566" s="37" t="n">
        <f aca="false">IF(J566="Delayed",I566-H566,"")</f>
        <v>1</v>
      </c>
    </row>
    <row r="567" customFormat="false" ht="15" hidden="false" customHeight="false" outlineLevel="0" collapsed="false">
      <c r="A567" s="35" t="s">
        <v>631</v>
      </c>
      <c r="B567" s="36" t="n">
        <v>46268</v>
      </c>
      <c r="C567" s="36" t="n">
        <v>46276</v>
      </c>
      <c r="D567" s="35" t="s">
        <v>56</v>
      </c>
      <c r="E567" s="35" t="s">
        <v>36</v>
      </c>
      <c r="F567" s="35" t="s">
        <v>15</v>
      </c>
      <c r="G567" s="35"/>
      <c r="H567" s="37" t="n">
        <f aca="false">IFERROR(VLOOKUP(D567,Settings!$A$5:$C$14,3,FALSE()),"")</f>
        <v>6</v>
      </c>
      <c r="I567" s="37" t="n">
        <f aca="false">IF(C567="","",C567-B567)</f>
        <v>8</v>
      </c>
      <c r="J567" s="38" t="str">
        <f aca="false">IF(I567="","",IF(I567&gt;H567,"Delayed","On Time"))</f>
        <v>Delayed</v>
      </c>
      <c r="K567" s="37" t="n">
        <f aca="false">IF(J567="Delayed",I567-H567,"")</f>
        <v>2</v>
      </c>
    </row>
    <row r="568" customFormat="false" ht="15" hidden="false" customHeight="false" outlineLevel="0" collapsed="false">
      <c r="A568" s="35" t="s">
        <v>632</v>
      </c>
      <c r="B568" s="36" t="n">
        <v>46268</v>
      </c>
      <c r="C568" s="36" t="n">
        <v>46274</v>
      </c>
      <c r="D568" s="35" t="s">
        <v>53</v>
      </c>
      <c r="E568" s="35" t="s">
        <v>34</v>
      </c>
      <c r="F568" s="35" t="s">
        <v>15</v>
      </c>
      <c r="G568" s="35"/>
      <c r="H568" s="37" t="n">
        <f aca="false">IFERROR(VLOOKUP(D568,Settings!$A$5:$C$14,3,FALSE()),"")</f>
        <v>5</v>
      </c>
      <c r="I568" s="37" t="n">
        <f aca="false">IF(C568="","",C568-B568)</f>
        <v>6</v>
      </c>
      <c r="J568" s="38" t="str">
        <f aca="false">IF(I568="","",IF(I568&gt;H568,"Delayed","On Time"))</f>
        <v>Delayed</v>
      </c>
      <c r="K568" s="37" t="n">
        <f aca="false">IF(J568="Delayed",I568-H568,"")</f>
        <v>1</v>
      </c>
    </row>
    <row r="569" customFormat="false" ht="15" hidden="false" customHeight="false" outlineLevel="0" collapsed="false">
      <c r="A569" s="35" t="s">
        <v>633</v>
      </c>
      <c r="B569" s="36" t="n">
        <v>46268</v>
      </c>
      <c r="C569" s="36" t="n">
        <v>46272</v>
      </c>
      <c r="D569" s="35" t="s">
        <v>46</v>
      </c>
      <c r="E569" s="35" t="s">
        <v>35</v>
      </c>
      <c r="F569" s="35" t="s">
        <v>15</v>
      </c>
      <c r="G569" s="35"/>
      <c r="H569" s="37" t="n">
        <f aca="false">IFERROR(VLOOKUP(D569,Settings!$A$5:$C$14,3,FALSE()),"")</f>
        <v>3</v>
      </c>
      <c r="I569" s="37" t="n">
        <f aca="false">IF(C569="","",C569-B569)</f>
        <v>4</v>
      </c>
      <c r="J569" s="38" t="str">
        <f aca="false">IF(I569="","",IF(I569&gt;H569,"Delayed","On Time"))</f>
        <v>Delayed</v>
      </c>
      <c r="K569" s="37" t="n">
        <f aca="false">IF(J569="Delayed",I569-H569,"")</f>
        <v>1</v>
      </c>
    </row>
    <row r="570" customFormat="false" ht="15" hidden="false" customHeight="false" outlineLevel="0" collapsed="false">
      <c r="A570" s="35" t="s">
        <v>634</v>
      </c>
      <c r="B570" s="36" t="n">
        <v>46268</v>
      </c>
      <c r="C570" s="36" t="n">
        <v>46274</v>
      </c>
      <c r="D570" s="35" t="s">
        <v>53</v>
      </c>
      <c r="E570" s="35" t="s">
        <v>36</v>
      </c>
      <c r="F570" s="35" t="s">
        <v>15</v>
      </c>
      <c r="G570" s="35"/>
      <c r="H570" s="37" t="n">
        <f aca="false">IFERROR(VLOOKUP(D570,Settings!$A$5:$C$14,3,FALSE()),"")</f>
        <v>5</v>
      </c>
      <c r="I570" s="37" t="n">
        <f aca="false">IF(C570="","",C570-B570)</f>
        <v>6</v>
      </c>
      <c r="J570" s="38" t="str">
        <f aca="false">IF(I570="","",IF(I570&gt;H570,"Delayed","On Time"))</f>
        <v>Delayed</v>
      </c>
      <c r="K570" s="37" t="n">
        <f aca="false">IF(J570="Delayed",I570-H570,"")</f>
        <v>1</v>
      </c>
    </row>
    <row r="571" customFormat="false" ht="15" hidden="false" customHeight="false" outlineLevel="0" collapsed="false">
      <c r="A571" s="35" t="s">
        <v>635</v>
      </c>
      <c r="B571" s="36" t="n">
        <v>46269</v>
      </c>
      <c r="C571" s="36" t="n">
        <v>46272</v>
      </c>
      <c r="D571" s="35" t="s">
        <v>44</v>
      </c>
      <c r="E571" s="35" t="s">
        <v>36</v>
      </c>
      <c r="F571" s="35" t="s">
        <v>15</v>
      </c>
      <c r="G571" s="35"/>
      <c r="H571" s="37" t="n">
        <f aca="false">IFERROR(VLOOKUP(D571,Settings!$A$5:$C$14,3,FALSE()),"")</f>
        <v>3</v>
      </c>
      <c r="I571" s="37" t="n">
        <f aca="false">IF(C571="","",C571-B571)</f>
        <v>3</v>
      </c>
      <c r="J571" s="38" t="str">
        <f aca="false">IF(I571="","",IF(I571&gt;H571,"Delayed","On Time"))</f>
        <v>On Time</v>
      </c>
      <c r="K571" s="37" t="str">
        <f aca="false">IF(J571="Delayed",I571-H571,"")</f>
        <v/>
      </c>
    </row>
    <row r="572" customFormat="false" ht="15" hidden="false" customHeight="false" outlineLevel="0" collapsed="false">
      <c r="A572" s="35" t="s">
        <v>636</v>
      </c>
      <c r="B572" s="36" t="n">
        <v>46269</v>
      </c>
      <c r="C572" s="36"/>
      <c r="D572" s="35" t="s">
        <v>44</v>
      </c>
      <c r="E572" s="35" t="s">
        <v>33</v>
      </c>
      <c r="F572" s="35" t="s">
        <v>18</v>
      </c>
      <c r="G572" s="35" t="s">
        <v>45</v>
      </c>
      <c r="H572" s="37" t="n">
        <f aca="false">IFERROR(VLOOKUP(D572,Settings!$A$5:$C$14,3,FALSE()),"")</f>
        <v>3</v>
      </c>
      <c r="I572" s="37" t="str">
        <f aca="false">IF(C572="","",C572-B572)</f>
        <v/>
      </c>
      <c r="J572" s="38" t="str">
        <f aca="false">IF(I572="","",IF(I572&gt;H572,"Delayed","On Time"))</f>
        <v/>
      </c>
      <c r="K572" s="37" t="str">
        <f aca="false">IF(J572="Delayed",I572-H572,"")</f>
        <v/>
      </c>
    </row>
    <row r="573" customFormat="false" ht="15" hidden="false" customHeight="false" outlineLevel="0" collapsed="false">
      <c r="A573" s="35" t="s">
        <v>637</v>
      </c>
      <c r="B573" s="36" t="n">
        <v>46269</v>
      </c>
      <c r="C573" s="36" t="n">
        <v>46272</v>
      </c>
      <c r="D573" s="35" t="s">
        <v>44</v>
      </c>
      <c r="E573" s="35" t="s">
        <v>35</v>
      </c>
      <c r="F573" s="35" t="s">
        <v>15</v>
      </c>
      <c r="G573" s="35"/>
      <c r="H573" s="37" t="n">
        <f aca="false">IFERROR(VLOOKUP(D573,Settings!$A$5:$C$14,3,FALSE()),"")</f>
        <v>3</v>
      </c>
      <c r="I573" s="37" t="n">
        <f aca="false">IF(C573="","",C573-B573)</f>
        <v>3</v>
      </c>
      <c r="J573" s="38" t="str">
        <f aca="false">IF(I573="","",IF(I573&gt;H573,"Delayed","On Time"))</f>
        <v>On Time</v>
      </c>
      <c r="K573" s="37" t="str">
        <f aca="false">IF(J573="Delayed",I573-H573,"")</f>
        <v/>
      </c>
    </row>
    <row r="574" customFormat="false" ht="15" hidden="false" customHeight="false" outlineLevel="0" collapsed="false">
      <c r="A574" s="35" t="s">
        <v>638</v>
      </c>
      <c r="B574" s="36" t="n">
        <v>46269</v>
      </c>
      <c r="C574" s="36" t="n">
        <v>46273</v>
      </c>
      <c r="D574" s="35" t="s">
        <v>48</v>
      </c>
      <c r="E574" s="35" t="s">
        <v>36</v>
      </c>
      <c r="F574" s="35" t="s">
        <v>15</v>
      </c>
      <c r="G574" s="35"/>
      <c r="H574" s="37" t="n">
        <f aca="false">IFERROR(VLOOKUP(D574,Settings!$A$5:$C$14,3,FALSE()),"")</f>
        <v>3</v>
      </c>
      <c r="I574" s="37" t="n">
        <f aca="false">IF(C574="","",C574-B574)</f>
        <v>4</v>
      </c>
      <c r="J574" s="38" t="str">
        <f aca="false">IF(I574="","",IF(I574&gt;H574,"Delayed","On Time"))</f>
        <v>Delayed</v>
      </c>
      <c r="K574" s="37" t="n">
        <f aca="false">IF(J574="Delayed",I574-H574,"")</f>
        <v>1</v>
      </c>
    </row>
    <row r="575" customFormat="false" ht="15" hidden="false" customHeight="false" outlineLevel="0" collapsed="false">
      <c r="A575" s="35" t="s">
        <v>639</v>
      </c>
      <c r="B575" s="36" t="n">
        <v>46269</v>
      </c>
      <c r="C575" s="36"/>
      <c r="D575" s="35" t="s">
        <v>44</v>
      </c>
      <c r="E575" s="35" t="s">
        <v>33</v>
      </c>
      <c r="F575" s="35" t="s">
        <v>18</v>
      </c>
      <c r="G575" s="35" t="s">
        <v>47</v>
      </c>
      <c r="H575" s="37" t="n">
        <f aca="false">IFERROR(VLOOKUP(D575,Settings!$A$5:$C$14,3,FALSE()),"")</f>
        <v>3</v>
      </c>
      <c r="I575" s="37" t="str">
        <f aca="false">IF(C575="","",C575-B575)</f>
        <v/>
      </c>
      <c r="J575" s="38" t="str">
        <f aca="false">IF(I575="","",IF(I575&gt;H575,"Delayed","On Time"))</f>
        <v/>
      </c>
      <c r="K575" s="37" t="str">
        <f aca="false">IF(J575="Delayed",I575-H575,"")</f>
        <v/>
      </c>
    </row>
    <row r="576" customFormat="false" ht="15" hidden="false" customHeight="false" outlineLevel="0" collapsed="false">
      <c r="A576" s="35" t="s">
        <v>640</v>
      </c>
      <c r="B576" s="36" t="n">
        <v>46269</v>
      </c>
      <c r="C576" s="36" t="n">
        <v>46273</v>
      </c>
      <c r="D576" s="35" t="s">
        <v>44</v>
      </c>
      <c r="E576" s="35" t="s">
        <v>33</v>
      </c>
      <c r="F576" s="35" t="s">
        <v>15</v>
      </c>
      <c r="G576" s="35"/>
      <c r="H576" s="37" t="n">
        <f aca="false">IFERROR(VLOOKUP(D576,Settings!$A$5:$C$14,3,FALSE()),"")</f>
        <v>3</v>
      </c>
      <c r="I576" s="37" t="n">
        <f aca="false">IF(C576="","",C576-B576)</f>
        <v>4</v>
      </c>
      <c r="J576" s="38" t="str">
        <f aca="false">IF(I576="","",IF(I576&gt;H576,"Delayed","On Time"))</f>
        <v>Delayed</v>
      </c>
      <c r="K576" s="37" t="n">
        <f aca="false">IF(J576="Delayed",I576-H576,"")</f>
        <v>1</v>
      </c>
    </row>
    <row r="577" customFormat="false" ht="15" hidden="false" customHeight="false" outlineLevel="0" collapsed="false">
      <c r="A577" s="35" t="s">
        <v>641</v>
      </c>
      <c r="B577" s="36" t="n">
        <v>46269</v>
      </c>
      <c r="C577" s="36" t="n">
        <v>46272</v>
      </c>
      <c r="D577" s="35" t="s">
        <v>46</v>
      </c>
      <c r="E577" s="35" t="s">
        <v>33</v>
      </c>
      <c r="F577" s="35" t="s">
        <v>15</v>
      </c>
      <c r="G577" s="35"/>
      <c r="H577" s="37" t="n">
        <f aca="false">IFERROR(VLOOKUP(D577,Settings!$A$5:$C$14,3,FALSE()),"")</f>
        <v>3</v>
      </c>
      <c r="I577" s="37" t="n">
        <f aca="false">IF(C577="","",C577-B577)</f>
        <v>3</v>
      </c>
      <c r="J577" s="38" t="str">
        <f aca="false">IF(I577="","",IF(I577&gt;H577,"Delayed","On Time"))</f>
        <v>On Time</v>
      </c>
      <c r="K577" s="37" t="str">
        <f aca="false">IF(J577="Delayed",I577-H577,"")</f>
        <v/>
      </c>
    </row>
    <row r="578" customFormat="false" ht="15" hidden="false" customHeight="false" outlineLevel="0" collapsed="false">
      <c r="A578" s="35" t="s">
        <v>642</v>
      </c>
      <c r="B578" s="36" t="n">
        <v>46269</v>
      </c>
      <c r="C578" s="36" t="n">
        <v>46276</v>
      </c>
      <c r="D578" s="35" t="s">
        <v>54</v>
      </c>
      <c r="E578" s="35" t="s">
        <v>36</v>
      </c>
      <c r="F578" s="35" t="s">
        <v>15</v>
      </c>
      <c r="G578" s="35"/>
      <c r="H578" s="37" t="n">
        <f aca="false">IFERROR(VLOOKUP(D578,Settings!$A$5:$C$14,3,FALSE()),"")</f>
        <v>5</v>
      </c>
      <c r="I578" s="37" t="n">
        <f aca="false">IF(C578="","",C578-B578)</f>
        <v>7</v>
      </c>
      <c r="J578" s="38" t="str">
        <f aca="false">IF(I578="","",IF(I578&gt;H578,"Delayed","On Time"))</f>
        <v>Delayed</v>
      </c>
      <c r="K578" s="37" t="n">
        <f aca="false">IF(J578="Delayed",I578-H578,"")</f>
        <v>2</v>
      </c>
    </row>
    <row r="579" customFormat="false" ht="15" hidden="false" customHeight="false" outlineLevel="0" collapsed="false">
      <c r="A579" s="35" t="s">
        <v>643</v>
      </c>
      <c r="B579" s="36" t="n">
        <v>46269</v>
      </c>
      <c r="C579" s="36" t="n">
        <v>46273</v>
      </c>
      <c r="D579" s="35" t="s">
        <v>46</v>
      </c>
      <c r="E579" s="35" t="s">
        <v>36</v>
      </c>
      <c r="F579" s="35" t="s">
        <v>15</v>
      </c>
      <c r="G579" s="35"/>
      <c r="H579" s="37" t="n">
        <f aca="false">IFERROR(VLOOKUP(D579,Settings!$A$5:$C$14,3,FALSE()),"")</f>
        <v>3</v>
      </c>
      <c r="I579" s="37" t="n">
        <f aca="false">IF(C579="","",C579-B579)</f>
        <v>4</v>
      </c>
      <c r="J579" s="38" t="str">
        <f aca="false">IF(I579="","",IF(I579&gt;H579,"Delayed","On Time"))</f>
        <v>Delayed</v>
      </c>
      <c r="K579" s="37" t="n">
        <f aca="false">IF(J579="Delayed",I579-H579,"")</f>
        <v>1</v>
      </c>
    </row>
    <row r="580" customFormat="false" ht="15" hidden="false" customHeight="false" outlineLevel="0" collapsed="false">
      <c r="A580" s="35" t="s">
        <v>644</v>
      </c>
      <c r="B580" s="36" t="n">
        <v>46269</v>
      </c>
      <c r="C580" s="36" t="n">
        <v>46272</v>
      </c>
      <c r="D580" s="35" t="s">
        <v>44</v>
      </c>
      <c r="E580" s="35" t="s">
        <v>33</v>
      </c>
      <c r="F580" s="35" t="s">
        <v>15</v>
      </c>
      <c r="G580" s="35"/>
      <c r="H580" s="37" t="n">
        <f aca="false">IFERROR(VLOOKUP(D580,Settings!$A$5:$C$14,3,FALSE()),"")</f>
        <v>3</v>
      </c>
      <c r="I580" s="37" t="n">
        <f aca="false">IF(C580="","",C580-B580)</f>
        <v>3</v>
      </c>
      <c r="J580" s="38" t="str">
        <f aca="false">IF(I580="","",IF(I580&gt;H580,"Delayed","On Time"))</f>
        <v>On Time</v>
      </c>
      <c r="K580" s="37" t="str">
        <f aca="false">IF(J580="Delayed",I580-H580,"")</f>
        <v/>
      </c>
    </row>
    <row r="581" customFormat="false" ht="15" hidden="false" customHeight="false" outlineLevel="0" collapsed="false">
      <c r="A581" s="35" t="s">
        <v>645</v>
      </c>
      <c r="B581" s="36" t="n">
        <v>46269</v>
      </c>
      <c r="C581" s="36" t="n">
        <v>46273</v>
      </c>
      <c r="D581" s="35" t="s">
        <v>46</v>
      </c>
      <c r="E581" s="35" t="s">
        <v>34</v>
      </c>
      <c r="F581" s="35" t="s">
        <v>15</v>
      </c>
      <c r="G581" s="35"/>
      <c r="H581" s="37" t="n">
        <f aca="false">IFERROR(VLOOKUP(D581,Settings!$A$5:$C$14,3,FALSE()),"")</f>
        <v>3</v>
      </c>
      <c r="I581" s="37" t="n">
        <f aca="false">IF(C581="","",C581-B581)</f>
        <v>4</v>
      </c>
      <c r="J581" s="38" t="str">
        <f aca="false">IF(I581="","",IF(I581&gt;H581,"Delayed","On Time"))</f>
        <v>Delayed</v>
      </c>
      <c r="K581" s="37" t="n">
        <f aca="false">IF(J581="Delayed",I581-H581,"")</f>
        <v>1</v>
      </c>
    </row>
    <row r="582" customFormat="false" ht="15" hidden="false" customHeight="false" outlineLevel="0" collapsed="false">
      <c r="A582" s="35" t="s">
        <v>646</v>
      </c>
      <c r="B582" s="36" t="n">
        <v>46270</v>
      </c>
      <c r="C582" s="36" t="n">
        <v>46274</v>
      </c>
      <c r="D582" s="35" t="s">
        <v>46</v>
      </c>
      <c r="E582" s="35" t="s">
        <v>36</v>
      </c>
      <c r="F582" s="35" t="s">
        <v>15</v>
      </c>
      <c r="G582" s="35"/>
      <c r="H582" s="37" t="n">
        <f aca="false">IFERROR(VLOOKUP(D582,Settings!$A$5:$C$14,3,FALSE()),"")</f>
        <v>3</v>
      </c>
      <c r="I582" s="37" t="n">
        <f aca="false">IF(C582="","",C582-B582)</f>
        <v>4</v>
      </c>
      <c r="J582" s="38" t="str">
        <f aca="false">IF(I582="","",IF(I582&gt;H582,"Delayed","On Time"))</f>
        <v>Delayed</v>
      </c>
      <c r="K582" s="37" t="n">
        <f aca="false">IF(J582="Delayed",I582-H582,"")</f>
        <v>1</v>
      </c>
    </row>
    <row r="583" customFormat="false" ht="15" hidden="false" customHeight="false" outlineLevel="0" collapsed="false">
      <c r="A583" s="35" t="s">
        <v>647</v>
      </c>
      <c r="B583" s="36" t="n">
        <v>46270</v>
      </c>
      <c r="C583" s="36" t="n">
        <v>46276</v>
      </c>
      <c r="D583" s="35" t="s">
        <v>56</v>
      </c>
      <c r="E583" s="35" t="s">
        <v>33</v>
      </c>
      <c r="F583" s="35" t="s">
        <v>15</v>
      </c>
      <c r="G583" s="35"/>
      <c r="H583" s="37" t="n">
        <f aca="false">IFERROR(VLOOKUP(D583,Settings!$A$5:$C$14,3,FALSE()),"")</f>
        <v>6</v>
      </c>
      <c r="I583" s="37" t="n">
        <f aca="false">IF(C583="","",C583-B583)</f>
        <v>6</v>
      </c>
      <c r="J583" s="38" t="str">
        <f aca="false">IF(I583="","",IF(I583&gt;H583,"Delayed","On Time"))</f>
        <v>On Time</v>
      </c>
      <c r="K583" s="37" t="str">
        <f aca="false">IF(J583="Delayed",I583-H583,"")</f>
        <v/>
      </c>
    </row>
    <row r="584" customFormat="false" ht="15" hidden="false" customHeight="false" outlineLevel="0" collapsed="false">
      <c r="A584" s="35" t="s">
        <v>648</v>
      </c>
      <c r="B584" s="36" t="n">
        <v>46270</v>
      </c>
      <c r="C584" s="36" t="n">
        <v>46275</v>
      </c>
      <c r="D584" s="35" t="s">
        <v>44</v>
      </c>
      <c r="E584" s="35" t="s">
        <v>35</v>
      </c>
      <c r="F584" s="35" t="s">
        <v>15</v>
      </c>
      <c r="G584" s="35"/>
      <c r="H584" s="37" t="n">
        <f aca="false">IFERROR(VLOOKUP(D584,Settings!$A$5:$C$14,3,FALSE()),"")</f>
        <v>3</v>
      </c>
      <c r="I584" s="37" t="n">
        <f aca="false">IF(C584="","",C584-B584)</f>
        <v>5</v>
      </c>
      <c r="J584" s="38" t="str">
        <f aca="false">IF(I584="","",IF(I584&gt;H584,"Delayed","On Time"))</f>
        <v>Delayed</v>
      </c>
      <c r="K584" s="37" t="n">
        <f aca="false">IF(J584="Delayed",I584-H584,"")</f>
        <v>2</v>
      </c>
    </row>
    <row r="585" customFormat="false" ht="15" hidden="false" customHeight="false" outlineLevel="0" collapsed="false">
      <c r="A585" s="35" t="s">
        <v>649</v>
      </c>
      <c r="B585" s="36" t="n">
        <v>46270</v>
      </c>
      <c r="C585" s="36" t="n">
        <v>46272</v>
      </c>
      <c r="D585" s="35" t="s">
        <v>46</v>
      </c>
      <c r="E585" s="35" t="s">
        <v>33</v>
      </c>
      <c r="F585" s="35" t="s">
        <v>15</v>
      </c>
      <c r="G585" s="35"/>
      <c r="H585" s="37" t="n">
        <f aca="false">IFERROR(VLOOKUP(D585,Settings!$A$5:$C$14,3,FALSE()),"")</f>
        <v>3</v>
      </c>
      <c r="I585" s="37" t="n">
        <f aca="false">IF(C585="","",C585-B585)</f>
        <v>2</v>
      </c>
      <c r="J585" s="38" t="str">
        <f aca="false">IF(I585="","",IF(I585&gt;H585,"Delayed","On Time"))</f>
        <v>On Time</v>
      </c>
      <c r="K585" s="37" t="str">
        <f aca="false">IF(J585="Delayed",I585-H585,"")</f>
        <v/>
      </c>
    </row>
    <row r="586" customFormat="false" ht="15" hidden="false" customHeight="false" outlineLevel="0" collapsed="false">
      <c r="A586" s="35" t="s">
        <v>650</v>
      </c>
      <c r="B586" s="36" t="n">
        <v>46270</v>
      </c>
      <c r="C586" s="36" t="n">
        <v>46274</v>
      </c>
      <c r="D586" s="35" t="s">
        <v>48</v>
      </c>
      <c r="E586" s="35" t="s">
        <v>36</v>
      </c>
      <c r="F586" s="35" t="s">
        <v>15</v>
      </c>
      <c r="G586" s="35"/>
      <c r="H586" s="37" t="n">
        <f aca="false">IFERROR(VLOOKUP(D586,Settings!$A$5:$C$14,3,FALSE()),"")</f>
        <v>3</v>
      </c>
      <c r="I586" s="37" t="n">
        <f aca="false">IF(C586="","",C586-B586)</f>
        <v>4</v>
      </c>
      <c r="J586" s="38" t="str">
        <f aca="false">IF(I586="","",IF(I586&gt;H586,"Delayed","On Time"))</f>
        <v>Delayed</v>
      </c>
      <c r="K586" s="37" t="n">
        <f aca="false">IF(J586="Delayed",I586-H586,"")</f>
        <v>1</v>
      </c>
    </row>
    <row r="587" customFormat="false" ht="15" hidden="false" customHeight="false" outlineLevel="0" collapsed="false">
      <c r="A587" s="35" t="s">
        <v>651</v>
      </c>
      <c r="B587" s="36" t="n">
        <v>46270</v>
      </c>
      <c r="C587" s="36" t="n">
        <v>46273</v>
      </c>
      <c r="D587" s="35" t="s">
        <v>50</v>
      </c>
      <c r="E587" s="35" t="s">
        <v>33</v>
      </c>
      <c r="F587" s="35" t="s">
        <v>15</v>
      </c>
      <c r="G587" s="35"/>
      <c r="H587" s="37" t="n">
        <f aca="false">IFERROR(VLOOKUP(D587,Settings!$A$5:$C$14,3,FALSE()),"")</f>
        <v>3</v>
      </c>
      <c r="I587" s="37" t="n">
        <f aca="false">IF(C587="","",C587-B587)</f>
        <v>3</v>
      </c>
      <c r="J587" s="38" t="str">
        <f aca="false">IF(I587="","",IF(I587&gt;H587,"Delayed","On Time"))</f>
        <v>On Time</v>
      </c>
      <c r="K587" s="37" t="str">
        <f aca="false">IF(J587="Delayed",I587-H587,"")</f>
        <v/>
      </c>
    </row>
    <row r="588" customFormat="false" ht="15" hidden="false" customHeight="false" outlineLevel="0" collapsed="false">
      <c r="A588" s="35" t="s">
        <v>652</v>
      </c>
      <c r="B588" s="36" t="n">
        <v>46270</v>
      </c>
      <c r="C588" s="36" t="n">
        <v>46274</v>
      </c>
      <c r="D588" s="35" t="s">
        <v>50</v>
      </c>
      <c r="E588" s="35" t="s">
        <v>34</v>
      </c>
      <c r="F588" s="35" t="s">
        <v>15</v>
      </c>
      <c r="G588" s="35"/>
      <c r="H588" s="37" t="n">
        <f aca="false">IFERROR(VLOOKUP(D588,Settings!$A$5:$C$14,3,FALSE()),"")</f>
        <v>3</v>
      </c>
      <c r="I588" s="37" t="n">
        <f aca="false">IF(C588="","",C588-B588)</f>
        <v>4</v>
      </c>
      <c r="J588" s="38" t="str">
        <f aca="false">IF(I588="","",IF(I588&gt;H588,"Delayed","On Time"))</f>
        <v>Delayed</v>
      </c>
      <c r="K588" s="37" t="n">
        <f aca="false">IF(J588="Delayed",I588-H588,"")</f>
        <v>1</v>
      </c>
    </row>
    <row r="589" customFormat="false" ht="15" hidden="false" customHeight="false" outlineLevel="0" collapsed="false">
      <c r="A589" s="35" t="s">
        <v>653</v>
      </c>
      <c r="B589" s="36" t="n">
        <v>46270</v>
      </c>
      <c r="C589" s="36" t="n">
        <v>46274</v>
      </c>
      <c r="D589" s="35" t="s">
        <v>46</v>
      </c>
      <c r="E589" s="35" t="s">
        <v>35</v>
      </c>
      <c r="F589" s="35" t="s">
        <v>15</v>
      </c>
      <c r="G589" s="35"/>
      <c r="H589" s="37" t="n">
        <f aca="false">IFERROR(VLOOKUP(D589,Settings!$A$5:$C$14,3,FALSE()),"")</f>
        <v>3</v>
      </c>
      <c r="I589" s="37" t="n">
        <f aca="false">IF(C589="","",C589-B589)</f>
        <v>4</v>
      </c>
      <c r="J589" s="38" t="str">
        <f aca="false">IF(I589="","",IF(I589&gt;H589,"Delayed","On Time"))</f>
        <v>Delayed</v>
      </c>
      <c r="K589" s="37" t="n">
        <f aca="false">IF(J589="Delayed",I589-H589,"")</f>
        <v>1</v>
      </c>
    </row>
    <row r="590" customFormat="false" ht="15" hidden="false" customHeight="false" outlineLevel="0" collapsed="false">
      <c r="A590" s="35" t="s">
        <v>654</v>
      </c>
      <c r="B590" s="36" t="n">
        <v>46270</v>
      </c>
      <c r="C590" s="36" t="n">
        <v>46273</v>
      </c>
      <c r="D590" s="35" t="s">
        <v>52</v>
      </c>
      <c r="E590" s="35" t="s">
        <v>33</v>
      </c>
      <c r="F590" s="35" t="s">
        <v>15</v>
      </c>
      <c r="G590" s="35"/>
      <c r="H590" s="37" t="n">
        <f aca="false">IFERROR(VLOOKUP(D590,Settings!$A$5:$C$14,3,FALSE()),"")</f>
        <v>4</v>
      </c>
      <c r="I590" s="37" t="n">
        <f aca="false">IF(C590="","",C590-B590)</f>
        <v>3</v>
      </c>
      <c r="J590" s="38" t="str">
        <f aca="false">IF(I590="","",IF(I590&gt;H590,"Delayed","On Time"))</f>
        <v>On Time</v>
      </c>
      <c r="K590" s="37" t="str">
        <f aca="false">IF(J590="Delayed",I590-H590,"")</f>
        <v/>
      </c>
    </row>
    <row r="591" customFormat="false" ht="15" hidden="false" customHeight="false" outlineLevel="0" collapsed="false">
      <c r="A591" s="35" t="s">
        <v>655</v>
      </c>
      <c r="B591" s="36" t="n">
        <v>46271</v>
      </c>
      <c r="C591" s="36" t="n">
        <v>46274</v>
      </c>
      <c r="D591" s="35" t="s">
        <v>50</v>
      </c>
      <c r="E591" s="35" t="s">
        <v>33</v>
      </c>
      <c r="F591" s="35" t="s">
        <v>15</v>
      </c>
      <c r="G591" s="35"/>
      <c r="H591" s="37" t="n">
        <f aca="false">IFERROR(VLOOKUP(D591,Settings!$A$5:$C$14,3,FALSE()),"")</f>
        <v>3</v>
      </c>
      <c r="I591" s="37" t="n">
        <f aca="false">IF(C591="","",C591-B591)</f>
        <v>3</v>
      </c>
      <c r="J591" s="38" t="str">
        <f aca="false">IF(I591="","",IF(I591&gt;H591,"Delayed","On Time"))</f>
        <v>On Time</v>
      </c>
      <c r="K591" s="37" t="str">
        <f aca="false">IF(J591="Delayed",I591-H591,"")</f>
        <v/>
      </c>
    </row>
    <row r="592" customFormat="false" ht="15" hidden="false" customHeight="false" outlineLevel="0" collapsed="false">
      <c r="A592" s="35" t="s">
        <v>656</v>
      </c>
      <c r="B592" s="36" t="n">
        <v>46271</v>
      </c>
      <c r="C592" s="36" t="n">
        <v>46275</v>
      </c>
      <c r="D592" s="35" t="s">
        <v>44</v>
      </c>
      <c r="E592" s="35" t="s">
        <v>33</v>
      </c>
      <c r="F592" s="35" t="s">
        <v>15</v>
      </c>
      <c r="G592" s="35"/>
      <c r="H592" s="37" t="n">
        <f aca="false">IFERROR(VLOOKUP(D592,Settings!$A$5:$C$14,3,FALSE()),"")</f>
        <v>3</v>
      </c>
      <c r="I592" s="37" t="n">
        <f aca="false">IF(C592="","",C592-B592)</f>
        <v>4</v>
      </c>
      <c r="J592" s="38" t="str">
        <f aca="false">IF(I592="","",IF(I592&gt;H592,"Delayed","On Time"))</f>
        <v>Delayed</v>
      </c>
      <c r="K592" s="37" t="n">
        <f aca="false">IF(J592="Delayed",I592-H592,"")</f>
        <v>1</v>
      </c>
    </row>
    <row r="593" customFormat="false" ht="15" hidden="false" customHeight="false" outlineLevel="0" collapsed="false">
      <c r="A593" s="35" t="s">
        <v>657</v>
      </c>
      <c r="B593" s="36" t="n">
        <v>46271</v>
      </c>
      <c r="C593" s="36" t="n">
        <v>46274</v>
      </c>
      <c r="D593" s="35" t="s">
        <v>48</v>
      </c>
      <c r="E593" s="35" t="s">
        <v>34</v>
      </c>
      <c r="F593" s="35" t="s">
        <v>15</v>
      </c>
      <c r="G593" s="35"/>
      <c r="H593" s="37" t="n">
        <f aca="false">IFERROR(VLOOKUP(D593,Settings!$A$5:$C$14,3,FALSE()),"")</f>
        <v>3</v>
      </c>
      <c r="I593" s="37" t="n">
        <f aca="false">IF(C593="","",C593-B593)</f>
        <v>3</v>
      </c>
      <c r="J593" s="38" t="str">
        <f aca="false">IF(I593="","",IF(I593&gt;H593,"Delayed","On Time"))</f>
        <v>On Time</v>
      </c>
      <c r="K593" s="37" t="str">
        <f aca="false">IF(J593="Delayed",I593-H593,"")</f>
        <v/>
      </c>
    </row>
    <row r="594" customFormat="false" ht="15" hidden="false" customHeight="false" outlineLevel="0" collapsed="false">
      <c r="A594" s="35" t="s">
        <v>658</v>
      </c>
      <c r="B594" s="36" t="n">
        <v>46271</v>
      </c>
      <c r="C594" s="36" t="n">
        <v>46274</v>
      </c>
      <c r="D594" s="35" t="s">
        <v>44</v>
      </c>
      <c r="E594" s="35" t="s">
        <v>34</v>
      </c>
      <c r="F594" s="35" t="s">
        <v>15</v>
      </c>
      <c r="G594" s="35"/>
      <c r="H594" s="37" t="n">
        <f aca="false">IFERROR(VLOOKUP(D594,Settings!$A$5:$C$14,3,FALSE()),"")</f>
        <v>3</v>
      </c>
      <c r="I594" s="37" t="n">
        <f aca="false">IF(C594="","",C594-B594)</f>
        <v>3</v>
      </c>
      <c r="J594" s="38" t="str">
        <f aca="false">IF(I594="","",IF(I594&gt;H594,"Delayed","On Time"))</f>
        <v>On Time</v>
      </c>
      <c r="K594" s="37" t="str">
        <f aca="false">IF(J594="Delayed",I594-H594,"")</f>
        <v/>
      </c>
    </row>
    <row r="595" customFormat="false" ht="15" hidden="false" customHeight="false" outlineLevel="0" collapsed="false">
      <c r="A595" s="35" t="s">
        <v>659</v>
      </c>
      <c r="B595" s="36" t="n">
        <v>46271</v>
      </c>
      <c r="C595" s="36" t="n">
        <v>46274</v>
      </c>
      <c r="D595" s="35" t="s">
        <v>46</v>
      </c>
      <c r="E595" s="35" t="s">
        <v>35</v>
      </c>
      <c r="F595" s="35" t="s">
        <v>15</v>
      </c>
      <c r="G595" s="35"/>
      <c r="H595" s="37" t="n">
        <f aca="false">IFERROR(VLOOKUP(D595,Settings!$A$5:$C$14,3,FALSE()),"")</f>
        <v>3</v>
      </c>
      <c r="I595" s="37" t="n">
        <f aca="false">IF(C595="","",C595-B595)</f>
        <v>3</v>
      </c>
      <c r="J595" s="38" t="str">
        <f aca="false">IF(I595="","",IF(I595&gt;H595,"Delayed","On Time"))</f>
        <v>On Time</v>
      </c>
      <c r="K595" s="37" t="str">
        <f aca="false">IF(J595="Delayed",I595-H595,"")</f>
        <v/>
      </c>
    </row>
    <row r="596" customFormat="false" ht="15" hidden="false" customHeight="false" outlineLevel="0" collapsed="false">
      <c r="A596" s="35" t="s">
        <v>660</v>
      </c>
      <c r="B596" s="36" t="n">
        <v>46272</v>
      </c>
      <c r="C596" s="36" t="n">
        <v>46275</v>
      </c>
      <c r="D596" s="35" t="s">
        <v>50</v>
      </c>
      <c r="E596" s="35" t="s">
        <v>36</v>
      </c>
      <c r="F596" s="35" t="s">
        <v>15</v>
      </c>
      <c r="G596" s="35"/>
      <c r="H596" s="37" t="n">
        <f aca="false">IFERROR(VLOOKUP(D596,Settings!$A$5:$C$14,3,FALSE()),"")</f>
        <v>3</v>
      </c>
      <c r="I596" s="37" t="n">
        <f aca="false">IF(C596="","",C596-B596)</f>
        <v>3</v>
      </c>
      <c r="J596" s="38" t="str">
        <f aca="false">IF(I596="","",IF(I596&gt;H596,"Delayed","On Time"))</f>
        <v>On Time</v>
      </c>
      <c r="K596" s="37" t="str">
        <f aca="false">IF(J596="Delayed",I596-H596,"")</f>
        <v/>
      </c>
    </row>
    <row r="597" customFormat="false" ht="15" hidden="false" customHeight="false" outlineLevel="0" collapsed="false">
      <c r="A597" s="35" t="s">
        <v>661</v>
      </c>
      <c r="B597" s="36" t="n">
        <v>46272</v>
      </c>
      <c r="C597" s="36" t="n">
        <v>46275</v>
      </c>
      <c r="D597" s="35" t="s">
        <v>44</v>
      </c>
      <c r="E597" s="35" t="s">
        <v>34</v>
      </c>
      <c r="F597" s="35" t="s">
        <v>15</v>
      </c>
      <c r="G597" s="35"/>
      <c r="H597" s="37" t="n">
        <f aca="false">IFERROR(VLOOKUP(D597,Settings!$A$5:$C$14,3,FALSE()),"")</f>
        <v>3</v>
      </c>
      <c r="I597" s="37" t="n">
        <f aca="false">IF(C597="","",C597-B597)</f>
        <v>3</v>
      </c>
      <c r="J597" s="38" t="str">
        <f aca="false">IF(I597="","",IF(I597&gt;H597,"Delayed","On Time"))</f>
        <v>On Time</v>
      </c>
      <c r="K597" s="37" t="str">
        <f aca="false">IF(J597="Delayed",I597-H597,"")</f>
        <v/>
      </c>
    </row>
    <row r="598" customFormat="false" ht="15" hidden="false" customHeight="false" outlineLevel="0" collapsed="false">
      <c r="A598" s="35" t="s">
        <v>662</v>
      </c>
      <c r="B598" s="36" t="n">
        <v>46272</v>
      </c>
      <c r="C598" s="36" t="n">
        <v>46276</v>
      </c>
      <c r="D598" s="35" t="s">
        <v>54</v>
      </c>
      <c r="E598" s="35" t="s">
        <v>33</v>
      </c>
      <c r="F598" s="35" t="s">
        <v>15</v>
      </c>
      <c r="G598" s="35"/>
      <c r="H598" s="37" t="n">
        <f aca="false">IFERROR(VLOOKUP(D598,Settings!$A$5:$C$14,3,FALSE()),"")</f>
        <v>5</v>
      </c>
      <c r="I598" s="37" t="n">
        <f aca="false">IF(C598="","",C598-B598)</f>
        <v>4</v>
      </c>
      <c r="J598" s="38" t="str">
        <f aca="false">IF(I598="","",IF(I598&gt;H598,"Delayed","On Time"))</f>
        <v>On Time</v>
      </c>
      <c r="K598" s="37" t="str">
        <f aca="false">IF(J598="Delayed",I598-H598,"")</f>
        <v/>
      </c>
    </row>
    <row r="599" customFormat="false" ht="15" hidden="false" customHeight="false" outlineLevel="0" collapsed="false">
      <c r="A599" s="35" t="s">
        <v>663</v>
      </c>
      <c r="B599" s="36" t="n">
        <v>46272</v>
      </c>
      <c r="C599" s="36" t="n">
        <v>46275</v>
      </c>
      <c r="D599" s="35" t="s">
        <v>44</v>
      </c>
      <c r="E599" s="35" t="s">
        <v>34</v>
      </c>
      <c r="F599" s="35" t="s">
        <v>15</v>
      </c>
      <c r="G599" s="35"/>
      <c r="H599" s="37" t="n">
        <f aca="false">IFERROR(VLOOKUP(D599,Settings!$A$5:$C$14,3,FALSE()),"")</f>
        <v>3</v>
      </c>
      <c r="I599" s="37" t="n">
        <f aca="false">IF(C599="","",C599-B599)</f>
        <v>3</v>
      </c>
      <c r="J599" s="38" t="str">
        <f aca="false">IF(I599="","",IF(I599&gt;H599,"Delayed","On Time"))</f>
        <v>On Time</v>
      </c>
      <c r="K599" s="37" t="str">
        <f aca="false">IF(J599="Delayed",I599-H599,"")</f>
        <v/>
      </c>
    </row>
    <row r="600" customFormat="false" ht="15" hidden="false" customHeight="false" outlineLevel="0" collapsed="false">
      <c r="A600" s="35" t="s">
        <v>664</v>
      </c>
      <c r="B600" s="36" t="n">
        <v>46272</v>
      </c>
      <c r="C600" s="36" t="n">
        <v>46275</v>
      </c>
      <c r="D600" s="35" t="s">
        <v>46</v>
      </c>
      <c r="E600" s="35" t="s">
        <v>34</v>
      </c>
      <c r="F600" s="35" t="s">
        <v>15</v>
      </c>
      <c r="G600" s="35"/>
      <c r="H600" s="37" t="n">
        <f aca="false">IFERROR(VLOOKUP(D600,Settings!$A$5:$C$14,3,FALSE()),"")</f>
        <v>3</v>
      </c>
      <c r="I600" s="37" t="n">
        <f aca="false">IF(C600="","",C600-B600)</f>
        <v>3</v>
      </c>
      <c r="J600" s="38" t="str">
        <f aca="false">IF(I600="","",IF(I600&gt;H600,"Delayed","On Time"))</f>
        <v>On Time</v>
      </c>
      <c r="K600" s="37" t="str">
        <f aca="false">IF(J600="Delayed",I600-H600,"")</f>
        <v/>
      </c>
    </row>
    <row r="601" customFormat="false" ht="15" hidden="false" customHeight="false" outlineLevel="0" collapsed="false">
      <c r="A601" s="35" t="s">
        <v>665</v>
      </c>
      <c r="B601" s="36" t="n">
        <v>46272</v>
      </c>
      <c r="C601" s="36" t="n">
        <v>46275</v>
      </c>
      <c r="D601" s="35" t="s">
        <v>52</v>
      </c>
      <c r="E601" s="35" t="s">
        <v>36</v>
      </c>
      <c r="F601" s="35" t="s">
        <v>15</v>
      </c>
      <c r="G601" s="35"/>
      <c r="H601" s="37" t="n">
        <f aca="false">IFERROR(VLOOKUP(D601,Settings!$A$5:$C$14,3,FALSE()),"")</f>
        <v>4</v>
      </c>
      <c r="I601" s="37" t="n">
        <f aca="false">IF(C601="","",C601-B601)</f>
        <v>3</v>
      </c>
      <c r="J601" s="38" t="str">
        <f aca="false">IF(I601="","",IF(I601&gt;H601,"Delayed","On Time"))</f>
        <v>On Time</v>
      </c>
      <c r="K601" s="37" t="str">
        <f aca="false">IF(J601="Delayed",I601-H601,"")</f>
        <v/>
      </c>
    </row>
    <row r="602" customFormat="false" ht="15" hidden="false" customHeight="false" outlineLevel="0" collapsed="false">
      <c r="A602" s="35" t="s">
        <v>666</v>
      </c>
      <c r="B602" s="36" t="n">
        <v>46272</v>
      </c>
      <c r="C602" s="36"/>
      <c r="D602" s="35" t="s">
        <v>54</v>
      </c>
      <c r="E602" s="35" t="s">
        <v>34</v>
      </c>
      <c r="F602" s="35" t="s">
        <v>18</v>
      </c>
      <c r="G602" s="35" t="s">
        <v>47</v>
      </c>
      <c r="H602" s="37" t="n">
        <f aca="false">IFERROR(VLOOKUP(D602,Settings!$A$5:$C$14,3,FALSE()),"")</f>
        <v>5</v>
      </c>
      <c r="I602" s="37" t="str">
        <f aca="false">IF(C602="","",C602-B602)</f>
        <v/>
      </c>
      <c r="J602" s="38" t="str">
        <f aca="false">IF(I602="","",IF(I602&gt;H602,"Delayed","On Time"))</f>
        <v/>
      </c>
      <c r="K602" s="37" t="str">
        <f aca="false">IF(J602="Delayed",I602-H602,"")</f>
        <v/>
      </c>
    </row>
    <row r="603" customFormat="false" ht="15" hidden="false" customHeight="false" outlineLevel="0" collapsed="false">
      <c r="A603" s="35" t="s">
        <v>667</v>
      </c>
      <c r="B603" s="36" t="n">
        <v>46272</v>
      </c>
      <c r="C603" s="36" t="n">
        <v>46276</v>
      </c>
      <c r="D603" s="35" t="s">
        <v>46</v>
      </c>
      <c r="E603" s="35" t="s">
        <v>35</v>
      </c>
      <c r="F603" s="35" t="s">
        <v>15</v>
      </c>
      <c r="G603" s="35"/>
      <c r="H603" s="37" t="n">
        <f aca="false">IFERROR(VLOOKUP(D603,Settings!$A$5:$C$14,3,FALSE()),"")</f>
        <v>3</v>
      </c>
      <c r="I603" s="37" t="n">
        <f aca="false">IF(C603="","",C603-B603)</f>
        <v>4</v>
      </c>
      <c r="J603" s="38" t="str">
        <f aca="false">IF(I603="","",IF(I603&gt;H603,"Delayed","On Time"))</f>
        <v>Delayed</v>
      </c>
      <c r="K603" s="37" t="n">
        <f aca="false">IF(J603="Delayed",I603-H603,"")</f>
        <v>1</v>
      </c>
    </row>
    <row r="604" customFormat="false" ht="15" hidden="false" customHeight="false" outlineLevel="0" collapsed="false">
      <c r="A604" s="35" t="s">
        <v>668</v>
      </c>
      <c r="B604" s="36" t="n">
        <v>46272</v>
      </c>
      <c r="C604" s="36"/>
      <c r="D604" s="35" t="s">
        <v>46</v>
      </c>
      <c r="E604" s="35" t="s">
        <v>33</v>
      </c>
      <c r="F604" s="35" t="s">
        <v>18</v>
      </c>
      <c r="G604" s="35" t="s">
        <v>45</v>
      </c>
      <c r="H604" s="37" t="n">
        <f aca="false">IFERROR(VLOOKUP(D604,Settings!$A$5:$C$14,3,FALSE()),"")</f>
        <v>3</v>
      </c>
      <c r="I604" s="37" t="str">
        <f aca="false">IF(C604="","",C604-B604)</f>
        <v/>
      </c>
      <c r="J604" s="38" t="str">
        <f aca="false">IF(I604="","",IF(I604&gt;H604,"Delayed","On Time"))</f>
        <v/>
      </c>
      <c r="K604" s="37" t="str">
        <f aca="false">IF(J604="Delayed",I604-H604,"")</f>
        <v/>
      </c>
    </row>
    <row r="605" customFormat="false" ht="15" hidden="false" customHeight="false" outlineLevel="0" collapsed="false">
      <c r="A605" s="35" t="s">
        <v>669</v>
      </c>
      <c r="B605" s="36" t="n">
        <v>46273</v>
      </c>
      <c r="C605" s="36" t="n">
        <v>46277</v>
      </c>
      <c r="D605" s="35" t="s">
        <v>44</v>
      </c>
      <c r="E605" s="35" t="s">
        <v>35</v>
      </c>
      <c r="F605" s="35" t="s">
        <v>15</v>
      </c>
      <c r="G605" s="35"/>
      <c r="H605" s="37" t="n">
        <f aca="false">IFERROR(VLOOKUP(D605,Settings!$A$5:$C$14,3,FALSE()),"")</f>
        <v>3</v>
      </c>
      <c r="I605" s="37" t="n">
        <f aca="false">IF(C605="","",C605-B605)</f>
        <v>4</v>
      </c>
      <c r="J605" s="38" t="str">
        <f aca="false">IF(I605="","",IF(I605&gt;H605,"Delayed","On Time"))</f>
        <v>Delayed</v>
      </c>
      <c r="K605" s="37" t="n">
        <f aca="false">IF(J605="Delayed",I605-H605,"")</f>
        <v>1</v>
      </c>
    </row>
    <row r="606" customFormat="false" ht="15" hidden="false" customHeight="false" outlineLevel="0" collapsed="false">
      <c r="A606" s="35" t="s">
        <v>670</v>
      </c>
      <c r="B606" s="36" t="n">
        <v>46273</v>
      </c>
      <c r="C606" s="36" t="n">
        <v>46276</v>
      </c>
      <c r="D606" s="35" t="s">
        <v>44</v>
      </c>
      <c r="E606" s="35" t="s">
        <v>34</v>
      </c>
      <c r="F606" s="35" t="s">
        <v>15</v>
      </c>
      <c r="G606" s="35"/>
      <c r="H606" s="37" t="n">
        <f aca="false">IFERROR(VLOOKUP(D606,Settings!$A$5:$C$14,3,FALSE()),"")</f>
        <v>3</v>
      </c>
      <c r="I606" s="37" t="n">
        <f aca="false">IF(C606="","",C606-B606)</f>
        <v>3</v>
      </c>
      <c r="J606" s="38" t="str">
        <f aca="false">IF(I606="","",IF(I606&gt;H606,"Delayed","On Time"))</f>
        <v>On Time</v>
      </c>
      <c r="K606" s="37" t="str">
        <f aca="false">IF(J606="Delayed",I606-H606,"")</f>
        <v/>
      </c>
    </row>
    <row r="607" customFormat="false" ht="15" hidden="false" customHeight="false" outlineLevel="0" collapsed="false">
      <c r="A607" s="35" t="s">
        <v>671</v>
      </c>
      <c r="B607" s="36" t="n">
        <v>46273</v>
      </c>
      <c r="C607" s="36" t="n">
        <v>46278</v>
      </c>
      <c r="D607" s="35" t="s">
        <v>44</v>
      </c>
      <c r="E607" s="35" t="s">
        <v>34</v>
      </c>
      <c r="F607" s="35" t="s">
        <v>15</v>
      </c>
      <c r="G607" s="35"/>
      <c r="H607" s="37" t="n">
        <f aca="false">IFERROR(VLOOKUP(D607,Settings!$A$5:$C$14,3,FALSE()),"")</f>
        <v>3</v>
      </c>
      <c r="I607" s="37" t="n">
        <f aca="false">IF(C607="","",C607-B607)</f>
        <v>5</v>
      </c>
      <c r="J607" s="38" t="str">
        <f aca="false">IF(I607="","",IF(I607&gt;H607,"Delayed","On Time"))</f>
        <v>Delayed</v>
      </c>
      <c r="K607" s="37" t="n">
        <f aca="false">IF(J607="Delayed",I607-H607,"")</f>
        <v>2</v>
      </c>
    </row>
    <row r="608" customFormat="false" ht="15" hidden="false" customHeight="false" outlineLevel="0" collapsed="false">
      <c r="A608" s="35" t="s">
        <v>672</v>
      </c>
      <c r="B608" s="36" t="n">
        <v>46273</v>
      </c>
      <c r="C608" s="36" t="n">
        <v>46280</v>
      </c>
      <c r="D608" s="35" t="s">
        <v>57</v>
      </c>
      <c r="E608" s="35" t="s">
        <v>34</v>
      </c>
      <c r="F608" s="35" t="s">
        <v>15</v>
      </c>
      <c r="G608" s="35"/>
      <c r="H608" s="37" t="n">
        <f aca="false">IFERROR(VLOOKUP(D608,Settings!$A$5:$C$14,3,FALSE()),"")</f>
        <v>7</v>
      </c>
      <c r="I608" s="37" t="n">
        <f aca="false">IF(C608="","",C608-B608)</f>
        <v>7</v>
      </c>
      <c r="J608" s="38" t="str">
        <f aca="false">IF(I608="","",IF(I608&gt;H608,"Delayed","On Time"))</f>
        <v>On Time</v>
      </c>
      <c r="K608" s="37" t="str">
        <f aca="false">IF(J608="Delayed",I608-H608,"")</f>
        <v/>
      </c>
    </row>
    <row r="609" customFormat="false" ht="15" hidden="false" customHeight="false" outlineLevel="0" collapsed="false">
      <c r="A609" s="35" t="s">
        <v>673</v>
      </c>
      <c r="B609" s="36" t="n">
        <v>46274</v>
      </c>
      <c r="C609" s="36" t="n">
        <v>46275</v>
      </c>
      <c r="D609" s="35" t="s">
        <v>50</v>
      </c>
      <c r="E609" s="35" t="s">
        <v>33</v>
      </c>
      <c r="F609" s="35" t="s">
        <v>15</v>
      </c>
      <c r="G609" s="35"/>
      <c r="H609" s="37" t="n">
        <f aca="false">IFERROR(VLOOKUP(D609,Settings!$A$5:$C$14,3,FALSE()),"")</f>
        <v>3</v>
      </c>
      <c r="I609" s="37" t="n">
        <f aca="false">IF(C609="","",C609-B609)</f>
        <v>1</v>
      </c>
      <c r="J609" s="38" t="str">
        <f aca="false">IF(I609="","",IF(I609&gt;H609,"Delayed","On Time"))</f>
        <v>On Time</v>
      </c>
      <c r="K609" s="37" t="str">
        <f aca="false">IF(J609="Delayed",I609-H609,"")</f>
        <v/>
      </c>
    </row>
    <row r="610" customFormat="false" ht="15" hidden="false" customHeight="false" outlineLevel="0" collapsed="false">
      <c r="A610" s="35" t="s">
        <v>674</v>
      </c>
      <c r="B610" s="36" t="n">
        <v>46274</v>
      </c>
      <c r="C610" s="36" t="n">
        <v>46279</v>
      </c>
      <c r="D610" s="35" t="s">
        <v>56</v>
      </c>
      <c r="E610" s="35" t="s">
        <v>36</v>
      </c>
      <c r="F610" s="35" t="s">
        <v>15</v>
      </c>
      <c r="G610" s="35"/>
      <c r="H610" s="37" t="n">
        <f aca="false">IFERROR(VLOOKUP(D610,Settings!$A$5:$C$14,3,FALSE()),"")</f>
        <v>6</v>
      </c>
      <c r="I610" s="37" t="n">
        <f aca="false">IF(C610="","",C610-B610)</f>
        <v>5</v>
      </c>
      <c r="J610" s="38" t="str">
        <f aca="false">IF(I610="","",IF(I610&gt;H610,"Delayed","On Time"))</f>
        <v>On Time</v>
      </c>
      <c r="K610" s="37" t="str">
        <f aca="false">IF(J610="Delayed",I610-H610,"")</f>
        <v/>
      </c>
    </row>
    <row r="611" customFormat="false" ht="15" hidden="false" customHeight="false" outlineLevel="0" collapsed="false">
      <c r="A611" s="35" t="s">
        <v>675</v>
      </c>
      <c r="B611" s="36" t="n">
        <v>46274</v>
      </c>
      <c r="C611" s="36" t="n">
        <v>46277</v>
      </c>
      <c r="D611" s="35" t="s">
        <v>50</v>
      </c>
      <c r="E611" s="35" t="s">
        <v>34</v>
      </c>
      <c r="F611" s="35" t="s">
        <v>15</v>
      </c>
      <c r="G611" s="35"/>
      <c r="H611" s="37" t="n">
        <f aca="false">IFERROR(VLOOKUP(D611,Settings!$A$5:$C$14,3,FALSE()),"")</f>
        <v>3</v>
      </c>
      <c r="I611" s="37" t="n">
        <f aca="false">IF(C611="","",C611-B611)</f>
        <v>3</v>
      </c>
      <c r="J611" s="38" t="str">
        <f aca="false">IF(I611="","",IF(I611&gt;H611,"Delayed","On Time"))</f>
        <v>On Time</v>
      </c>
      <c r="K611" s="37" t="str">
        <f aca="false">IF(J611="Delayed",I611-H611,"")</f>
        <v/>
      </c>
    </row>
    <row r="612" customFormat="false" ht="15" hidden="false" customHeight="false" outlineLevel="0" collapsed="false">
      <c r="A612" s="35" t="s">
        <v>676</v>
      </c>
      <c r="B612" s="36" t="n">
        <v>46274</v>
      </c>
      <c r="C612" s="36" t="n">
        <v>46277</v>
      </c>
      <c r="D612" s="35" t="s">
        <v>46</v>
      </c>
      <c r="E612" s="35" t="s">
        <v>36</v>
      </c>
      <c r="F612" s="35" t="s">
        <v>15</v>
      </c>
      <c r="G612" s="35"/>
      <c r="H612" s="37" t="n">
        <f aca="false">IFERROR(VLOOKUP(D612,Settings!$A$5:$C$14,3,FALSE()),"")</f>
        <v>3</v>
      </c>
      <c r="I612" s="37" t="n">
        <f aca="false">IF(C612="","",C612-B612)</f>
        <v>3</v>
      </c>
      <c r="J612" s="38" t="str">
        <f aca="false">IF(I612="","",IF(I612&gt;H612,"Delayed","On Time"))</f>
        <v>On Time</v>
      </c>
      <c r="K612" s="37" t="str">
        <f aca="false">IF(J612="Delayed",I612-H612,"")</f>
        <v/>
      </c>
    </row>
    <row r="613" customFormat="false" ht="15" hidden="false" customHeight="false" outlineLevel="0" collapsed="false">
      <c r="A613" s="35" t="s">
        <v>677</v>
      </c>
      <c r="B613" s="36" t="n">
        <v>46274</v>
      </c>
      <c r="C613" s="36" t="n">
        <v>46276</v>
      </c>
      <c r="D613" s="35" t="s">
        <v>46</v>
      </c>
      <c r="E613" s="35" t="s">
        <v>33</v>
      </c>
      <c r="F613" s="35" t="s">
        <v>17</v>
      </c>
      <c r="G613" s="35" t="s">
        <v>43</v>
      </c>
      <c r="H613" s="37" t="n">
        <f aca="false">IFERROR(VLOOKUP(D613,Settings!$A$5:$C$14,3,FALSE()),"")</f>
        <v>3</v>
      </c>
      <c r="I613" s="37" t="n">
        <f aca="false">IF(C613="","",C613-B613)</f>
        <v>2</v>
      </c>
      <c r="J613" s="38" t="str">
        <f aca="false">IF(I613="","",IF(I613&gt;H613,"Delayed","On Time"))</f>
        <v>On Time</v>
      </c>
      <c r="K613" s="37" t="str">
        <f aca="false">IF(J613="Delayed",I613-H613,"")</f>
        <v/>
      </c>
    </row>
    <row r="614" customFormat="false" ht="15" hidden="false" customHeight="false" outlineLevel="0" collapsed="false">
      <c r="A614" s="35" t="s">
        <v>678</v>
      </c>
      <c r="B614" s="36" t="n">
        <v>46274</v>
      </c>
      <c r="C614" s="36" t="n">
        <v>46279</v>
      </c>
      <c r="D614" s="35" t="s">
        <v>50</v>
      </c>
      <c r="E614" s="35" t="s">
        <v>36</v>
      </c>
      <c r="F614" s="35" t="s">
        <v>15</v>
      </c>
      <c r="G614" s="35"/>
      <c r="H614" s="37" t="n">
        <f aca="false">IFERROR(VLOOKUP(D614,Settings!$A$5:$C$14,3,FALSE()),"")</f>
        <v>3</v>
      </c>
      <c r="I614" s="37" t="n">
        <f aca="false">IF(C614="","",C614-B614)</f>
        <v>5</v>
      </c>
      <c r="J614" s="38" t="str">
        <f aca="false">IF(I614="","",IF(I614&gt;H614,"Delayed","On Time"))</f>
        <v>Delayed</v>
      </c>
      <c r="K614" s="37" t="n">
        <f aca="false">IF(J614="Delayed",I614-H614,"")</f>
        <v>2</v>
      </c>
    </row>
    <row r="615" customFormat="false" ht="15" hidden="false" customHeight="false" outlineLevel="0" collapsed="false">
      <c r="A615" s="35" t="s">
        <v>679</v>
      </c>
      <c r="B615" s="36" t="n">
        <v>46274</v>
      </c>
      <c r="C615" s="36" t="n">
        <v>46279</v>
      </c>
      <c r="D615" s="35" t="s">
        <v>56</v>
      </c>
      <c r="E615" s="35" t="s">
        <v>33</v>
      </c>
      <c r="F615" s="35" t="s">
        <v>15</v>
      </c>
      <c r="G615" s="35"/>
      <c r="H615" s="37" t="n">
        <f aca="false">IFERROR(VLOOKUP(D615,Settings!$A$5:$C$14,3,FALSE()),"")</f>
        <v>6</v>
      </c>
      <c r="I615" s="37" t="n">
        <f aca="false">IF(C615="","",C615-B615)</f>
        <v>5</v>
      </c>
      <c r="J615" s="38" t="str">
        <f aca="false">IF(I615="","",IF(I615&gt;H615,"Delayed","On Time"))</f>
        <v>On Time</v>
      </c>
      <c r="K615" s="37" t="str">
        <f aca="false">IF(J615="Delayed",I615-H615,"")</f>
        <v/>
      </c>
    </row>
    <row r="616" customFormat="false" ht="15" hidden="false" customHeight="false" outlineLevel="0" collapsed="false">
      <c r="A616" s="35" t="s">
        <v>680</v>
      </c>
      <c r="B616" s="36" t="n">
        <v>46274</v>
      </c>
      <c r="C616" s="36" t="n">
        <v>46277</v>
      </c>
      <c r="D616" s="35" t="s">
        <v>50</v>
      </c>
      <c r="E616" s="35" t="s">
        <v>34</v>
      </c>
      <c r="F616" s="35" t="s">
        <v>15</v>
      </c>
      <c r="G616" s="35"/>
      <c r="H616" s="37" t="n">
        <f aca="false">IFERROR(VLOOKUP(D616,Settings!$A$5:$C$14,3,FALSE()),"")</f>
        <v>3</v>
      </c>
      <c r="I616" s="37" t="n">
        <f aca="false">IF(C616="","",C616-B616)</f>
        <v>3</v>
      </c>
      <c r="J616" s="38" t="str">
        <f aca="false">IF(I616="","",IF(I616&gt;H616,"Delayed","On Time"))</f>
        <v>On Time</v>
      </c>
      <c r="K616" s="37" t="str">
        <f aca="false">IF(J616="Delayed",I616-H616,"")</f>
        <v/>
      </c>
    </row>
    <row r="617" customFormat="false" ht="15" hidden="false" customHeight="false" outlineLevel="0" collapsed="false">
      <c r="A617" s="35" t="s">
        <v>681</v>
      </c>
      <c r="B617" s="36" t="n">
        <v>46275</v>
      </c>
      <c r="C617" s="36" t="n">
        <v>46280</v>
      </c>
      <c r="D617" s="35" t="s">
        <v>53</v>
      </c>
      <c r="E617" s="35" t="s">
        <v>35</v>
      </c>
      <c r="F617" s="35" t="s">
        <v>15</v>
      </c>
      <c r="G617" s="35"/>
      <c r="H617" s="37" t="n">
        <f aca="false">IFERROR(VLOOKUP(D617,Settings!$A$5:$C$14,3,FALSE()),"")</f>
        <v>5</v>
      </c>
      <c r="I617" s="37" t="n">
        <f aca="false">IF(C617="","",C617-B617)</f>
        <v>5</v>
      </c>
      <c r="J617" s="38" t="str">
        <f aca="false">IF(I617="","",IF(I617&gt;H617,"Delayed","On Time"))</f>
        <v>On Time</v>
      </c>
      <c r="K617" s="37" t="str">
        <f aca="false">IF(J617="Delayed",I617-H617,"")</f>
        <v/>
      </c>
    </row>
    <row r="618" customFormat="false" ht="15" hidden="false" customHeight="false" outlineLevel="0" collapsed="false">
      <c r="A618" s="35" t="s">
        <v>682</v>
      </c>
      <c r="B618" s="36" t="n">
        <v>46275</v>
      </c>
      <c r="C618" s="36" t="n">
        <v>46277</v>
      </c>
      <c r="D618" s="35" t="s">
        <v>46</v>
      </c>
      <c r="E618" s="35" t="s">
        <v>34</v>
      </c>
      <c r="F618" s="35" t="s">
        <v>15</v>
      </c>
      <c r="G618" s="35"/>
      <c r="H618" s="37" t="n">
        <f aca="false">IFERROR(VLOOKUP(D618,Settings!$A$5:$C$14,3,FALSE()),"")</f>
        <v>3</v>
      </c>
      <c r="I618" s="37" t="n">
        <f aca="false">IF(C618="","",C618-B618)</f>
        <v>2</v>
      </c>
      <c r="J618" s="38" t="str">
        <f aca="false">IF(I618="","",IF(I618&gt;H618,"Delayed","On Time"))</f>
        <v>On Time</v>
      </c>
      <c r="K618" s="37" t="str">
        <f aca="false">IF(J618="Delayed",I618-H618,"")</f>
        <v/>
      </c>
    </row>
    <row r="619" customFormat="false" ht="15" hidden="false" customHeight="false" outlineLevel="0" collapsed="false">
      <c r="A619" s="35" t="s">
        <v>683</v>
      </c>
      <c r="B619" s="36" t="n">
        <v>46275</v>
      </c>
      <c r="C619" s="36" t="n">
        <v>46278</v>
      </c>
      <c r="D619" s="35" t="s">
        <v>48</v>
      </c>
      <c r="E619" s="35" t="s">
        <v>33</v>
      </c>
      <c r="F619" s="35" t="s">
        <v>15</v>
      </c>
      <c r="G619" s="35"/>
      <c r="H619" s="37" t="n">
        <f aca="false">IFERROR(VLOOKUP(D619,Settings!$A$5:$C$14,3,FALSE()),"")</f>
        <v>3</v>
      </c>
      <c r="I619" s="37" t="n">
        <f aca="false">IF(C619="","",C619-B619)</f>
        <v>3</v>
      </c>
      <c r="J619" s="38" t="str">
        <f aca="false">IF(I619="","",IF(I619&gt;H619,"Delayed","On Time"))</f>
        <v>On Time</v>
      </c>
      <c r="K619" s="37" t="str">
        <f aca="false">IF(J619="Delayed",I619-H619,"")</f>
        <v/>
      </c>
    </row>
    <row r="620" customFormat="false" ht="15" hidden="false" customHeight="false" outlineLevel="0" collapsed="false">
      <c r="A620" s="35" t="s">
        <v>684</v>
      </c>
      <c r="B620" s="36" t="n">
        <v>46275</v>
      </c>
      <c r="C620" s="36" t="n">
        <v>46281</v>
      </c>
      <c r="D620" s="35" t="s">
        <v>54</v>
      </c>
      <c r="E620" s="35" t="s">
        <v>36</v>
      </c>
      <c r="F620" s="35" t="s">
        <v>17</v>
      </c>
      <c r="G620" s="35" t="s">
        <v>43</v>
      </c>
      <c r="H620" s="37" t="n">
        <f aca="false">IFERROR(VLOOKUP(D620,Settings!$A$5:$C$14,3,FALSE()),"")</f>
        <v>5</v>
      </c>
      <c r="I620" s="37" t="n">
        <f aca="false">IF(C620="","",C620-B620)</f>
        <v>6</v>
      </c>
      <c r="J620" s="38" t="str">
        <f aca="false">IF(I620="","",IF(I620&gt;H620,"Delayed","On Time"))</f>
        <v>Delayed</v>
      </c>
      <c r="K620" s="37" t="n">
        <f aca="false">IF(J620="Delayed",I620-H620,"")</f>
        <v>1</v>
      </c>
    </row>
    <row r="621" customFormat="false" ht="15" hidden="false" customHeight="false" outlineLevel="0" collapsed="false">
      <c r="A621" s="35" t="s">
        <v>685</v>
      </c>
      <c r="B621" s="36" t="n">
        <v>46275</v>
      </c>
      <c r="C621" s="36" t="n">
        <v>46280</v>
      </c>
      <c r="D621" s="35" t="s">
        <v>44</v>
      </c>
      <c r="E621" s="35" t="s">
        <v>36</v>
      </c>
      <c r="F621" s="35" t="s">
        <v>15</v>
      </c>
      <c r="G621" s="35"/>
      <c r="H621" s="37" t="n">
        <f aca="false">IFERROR(VLOOKUP(D621,Settings!$A$5:$C$14,3,FALSE()),"")</f>
        <v>3</v>
      </c>
      <c r="I621" s="37" t="n">
        <f aca="false">IF(C621="","",C621-B621)</f>
        <v>5</v>
      </c>
      <c r="J621" s="38" t="str">
        <f aca="false">IF(I621="","",IF(I621&gt;H621,"Delayed","On Time"))</f>
        <v>Delayed</v>
      </c>
      <c r="K621" s="37" t="n">
        <f aca="false">IF(J621="Delayed",I621-H621,"")</f>
        <v>2</v>
      </c>
    </row>
    <row r="622" customFormat="false" ht="15" hidden="false" customHeight="false" outlineLevel="0" collapsed="false">
      <c r="A622" s="35" t="s">
        <v>686</v>
      </c>
      <c r="B622" s="36" t="n">
        <v>46276</v>
      </c>
      <c r="C622" s="36" t="n">
        <v>46282</v>
      </c>
      <c r="D622" s="35" t="s">
        <v>53</v>
      </c>
      <c r="E622" s="35" t="s">
        <v>33</v>
      </c>
      <c r="F622" s="35" t="s">
        <v>15</v>
      </c>
      <c r="G622" s="35"/>
      <c r="H622" s="37" t="n">
        <f aca="false">IFERROR(VLOOKUP(D622,Settings!$A$5:$C$14,3,FALSE()),"")</f>
        <v>5</v>
      </c>
      <c r="I622" s="37" t="n">
        <f aca="false">IF(C622="","",C622-B622)</f>
        <v>6</v>
      </c>
      <c r="J622" s="38" t="str">
        <f aca="false">IF(I622="","",IF(I622&gt;H622,"Delayed","On Time"))</f>
        <v>Delayed</v>
      </c>
      <c r="K622" s="37" t="n">
        <f aca="false">IF(J622="Delayed",I622-H622,"")</f>
        <v>1</v>
      </c>
    </row>
    <row r="623" customFormat="false" ht="15" hidden="false" customHeight="false" outlineLevel="0" collapsed="false">
      <c r="A623" s="35" t="s">
        <v>687</v>
      </c>
      <c r="B623" s="36" t="n">
        <v>46276</v>
      </c>
      <c r="C623" s="36" t="n">
        <v>46282</v>
      </c>
      <c r="D623" s="35" t="s">
        <v>54</v>
      </c>
      <c r="E623" s="35" t="s">
        <v>35</v>
      </c>
      <c r="F623" s="35" t="s">
        <v>15</v>
      </c>
      <c r="G623" s="35"/>
      <c r="H623" s="37" t="n">
        <f aca="false">IFERROR(VLOOKUP(D623,Settings!$A$5:$C$14,3,FALSE()),"")</f>
        <v>5</v>
      </c>
      <c r="I623" s="37" t="n">
        <f aca="false">IF(C623="","",C623-B623)</f>
        <v>6</v>
      </c>
      <c r="J623" s="38" t="str">
        <f aca="false">IF(I623="","",IF(I623&gt;H623,"Delayed","On Time"))</f>
        <v>Delayed</v>
      </c>
      <c r="K623" s="37" t="n">
        <f aca="false">IF(J623="Delayed",I623-H623,"")</f>
        <v>1</v>
      </c>
    </row>
    <row r="624" customFormat="false" ht="15" hidden="false" customHeight="false" outlineLevel="0" collapsed="false">
      <c r="A624" s="35" t="s">
        <v>688</v>
      </c>
      <c r="B624" s="36" t="n">
        <v>46276</v>
      </c>
      <c r="C624" s="36"/>
      <c r="D624" s="35" t="s">
        <v>46</v>
      </c>
      <c r="E624" s="35" t="s">
        <v>35</v>
      </c>
      <c r="F624" s="35" t="s">
        <v>18</v>
      </c>
      <c r="G624" s="35" t="s">
        <v>47</v>
      </c>
      <c r="H624" s="37" t="n">
        <f aca="false">IFERROR(VLOOKUP(D624,Settings!$A$5:$C$14,3,FALSE()),"")</f>
        <v>3</v>
      </c>
      <c r="I624" s="37" t="str">
        <f aca="false">IF(C624="","",C624-B624)</f>
        <v/>
      </c>
      <c r="J624" s="38" t="str">
        <f aca="false">IF(I624="","",IF(I624&gt;H624,"Delayed","On Time"))</f>
        <v/>
      </c>
      <c r="K624" s="37" t="str">
        <f aca="false">IF(J624="Delayed",I624-H624,"")</f>
        <v/>
      </c>
    </row>
    <row r="625" customFormat="false" ht="15" hidden="false" customHeight="false" outlineLevel="0" collapsed="false">
      <c r="A625" s="35" t="s">
        <v>689</v>
      </c>
      <c r="B625" s="36" t="n">
        <v>46276</v>
      </c>
      <c r="C625" s="36" t="n">
        <v>46279</v>
      </c>
      <c r="D625" s="35" t="s">
        <v>48</v>
      </c>
      <c r="E625" s="35" t="s">
        <v>34</v>
      </c>
      <c r="F625" s="35" t="s">
        <v>15</v>
      </c>
      <c r="G625" s="35"/>
      <c r="H625" s="37" t="n">
        <f aca="false">IFERROR(VLOOKUP(D625,Settings!$A$5:$C$14,3,FALSE()),"")</f>
        <v>3</v>
      </c>
      <c r="I625" s="37" t="n">
        <f aca="false">IF(C625="","",C625-B625)</f>
        <v>3</v>
      </c>
      <c r="J625" s="38" t="str">
        <f aca="false">IF(I625="","",IF(I625&gt;H625,"Delayed","On Time"))</f>
        <v>On Time</v>
      </c>
      <c r="K625" s="37" t="str">
        <f aca="false">IF(J625="Delayed",I625-H625,"")</f>
        <v/>
      </c>
    </row>
    <row r="626" customFormat="false" ht="15" hidden="false" customHeight="false" outlineLevel="0" collapsed="false">
      <c r="A626" s="35" t="s">
        <v>690</v>
      </c>
      <c r="B626" s="36" t="n">
        <v>46276</v>
      </c>
      <c r="C626" s="36" t="n">
        <v>46279</v>
      </c>
      <c r="D626" s="35" t="s">
        <v>46</v>
      </c>
      <c r="E626" s="35" t="s">
        <v>36</v>
      </c>
      <c r="F626" s="35" t="s">
        <v>15</v>
      </c>
      <c r="G626" s="35"/>
      <c r="H626" s="37" t="n">
        <f aca="false">IFERROR(VLOOKUP(D626,Settings!$A$5:$C$14,3,FALSE()),"")</f>
        <v>3</v>
      </c>
      <c r="I626" s="37" t="n">
        <f aca="false">IF(C626="","",C626-B626)</f>
        <v>3</v>
      </c>
      <c r="J626" s="38" t="str">
        <f aca="false">IF(I626="","",IF(I626&gt;H626,"Delayed","On Time"))</f>
        <v>On Time</v>
      </c>
      <c r="K626" s="37" t="str">
        <f aca="false">IF(J626="Delayed",I626-H626,"")</f>
        <v/>
      </c>
    </row>
    <row r="627" customFormat="false" ht="15" hidden="false" customHeight="false" outlineLevel="0" collapsed="false">
      <c r="A627" s="35" t="s">
        <v>691</v>
      </c>
      <c r="B627" s="36" t="n">
        <v>46276</v>
      </c>
      <c r="C627" s="36" t="n">
        <v>46278</v>
      </c>
      <c r="D627" s="35" t="s">
        <v>50</v>
      </c>
      <c r="E627" s="35" t="s">
        <v>34</v>
      </c>
      <c r="F627" s="35" t="s">
        <v>15</v>
      </c>
      <c r="G627" s="35"/>
      <c r="H627" s="37" t="n">
        <f aca="false">IFERROR(VLOOKUP(D627,Settings!$A$5:$C$14,3,FALSE()),"")</f>
        <v>3</v>
      </c>
      <c r="I627" s="37" t="n">
        <f aca="false">IF(C627="","",C627-B627)</f>
        <v>2</v>
      </c>
      <c r="J627" s="38" t="str">
        <f aca="false">IF(I627="","",IF(I627&gt;H627,"Delayed","On Time"))</f>
        <v>On Time</v>
      </c>
      <c r="K627" s="37" t="str">
        <f aca="false">IF(J627="Delayed",I627-H627,"")</f>
        <v/>
      </c>
    </row>
    <row r="628" customFormat="false" ht="15" hidden="false" customHeight="false" outlineLevel="0" collapsed="false">
      <c r="A628" s="35" t="s">
        <v>692</v>
      </c>
      <c r="B628" s="36" t="n">
        <v>46276</v>
      </c>
      <c r="C628" s="36" t="n">
        <v>46281</v>
      </c>
      <c r="D628" s="35" t="s">
        <v>53</v>
      </c>
      <c r="E628" s="35" t="s">
        <v>36</v>
      </c>
      <c r="F628" s="35" t="s">
        <v>17</v>
      </c>
      <c r="G628" s="35" t="s">
        <v>51</v>
      </c>
      <c r="H628" s="37" t="n">
        <f aca="false">IFERROR(VLOOKUP(D628,Settings!$A$5:$C$14,3,FALSE()),"")</f>
        <v>5</v>
      </c>
      <c r="I628" s="37" t="n">
        <f aca="false">IF(C628="","",C628-B628)</f>
        <v>5</v>
      </c>
      <c r="J628" s="38" t="str">
        <f aca="false">IF(I628="","",IF(I628&gt;H628,"Delayed","On Time"))</f>
        <v>On Time</v>
      </c>
      <c r="K628" s="37" t="str">
        <f aca="false">IF(J628="Delayed",I628-H628,"")</f>
        <v/>
      </c>
    </row>
    <row r="629" customFormat="false" ht="15" hidden="false" customHeight="false" outlineLevel="0" collapsed="false">
      <c r="A629" s="35" t="s">
        <v>693</v>
      </c>
      <c r="B629" s="36" t="n">
        <v>46276</v>
      </c>
      <c r="C629" s="36" t="n">
        <v>46278</v>
      </c>
      <c r="D629" s="35" t="s">
        <v>48</v>
      </c>
      <c r="E629" s="35" t="s">
        <v>36</v>
      </c>
      <c r="F629" s="35" t="s">
        <v>15</v>
      </c>
      <c r="G629" s="35"/>
      <c r="H629" s="37" t="n">
        <f aca="false">IFERROR(VLOOKUP(D629,Settings!$A$5:$C$14,3,FALSE()),"")</f>
        <v>3</v>
      </c>
      <c r="I629" s="37" t="n">
        <f aca="false">IF(C629="","",C629-B629)</f>
        <v>2</v>
      </c>
      <c r="J629" s="38" t="str">
        <f aca="false">IF(I629="","",IF(I629&gt;H629,"Delayed","On Time"))</f>
        <v>On Time</v>
      </c>
      <c r="K629" s="37" t="str">
        <f aca="false">IF(J629="Delayed",I629-H629,"")</f>
        <v/>
      </c>
    </row>
    <row r="630" customFormat="false" ht="15" hidden="false" customHeight="false" outlineLevel="0" collapsed="false">
      <c r="A630" s="35" t="s">
        <v>694</v>
      </c>
      <c r="B630" s="36" t="n">
        <v>46276</v>
      </c>
      <c r="C630" s="36" t="n">
        <v>46280</v>
      </c>
      <c r="D630" s="35" t="s">
        <v>54</v>
      </c>
      <c r="E630" s="35" t="s">
        <v>33</v>
      </c>
      <c r="F630" s="35" t="s">
        <v>15</v>
      </c>
      <c r="G630" s="35"/>
      <c r="H630" s="37" t="n">
        <f aca="false">IFERROR(VLOOKUP(D630,Settings!$A$5:$C$14,3,FALSE()),"")</f>
        <v>5</v>
      </c>
      <c r="I630" s="37" t="n">
        <f aca="false">IF(C630="","",C630-B630)</f>
        <v>4</v>
      </c>
      <c r="J630" s="38" t="str">
        <f aca="false">IF(I630="","",IF(I630&gt;H630,"Delayed","On Time"))</f>
        <v>On Time</v>
      </c>
      <c r="K630" s="37" t="str">
        <f aca="false">IF(J630="Delayed",I630-H630,"")</f>
        <v/>
      </c>
    </row>
    <row r="631" customFormat="false" ht="15" hidden="false" customHeight="false" outlineLevel="0" collapsed="false">
      <c r="A631" s="35" t="s">
        <v>695</v>
      </c>
      <c r="B631" s="36" t="n">
        <v>46276</v>
      </c>
      <c r="C631" s="36" t="n">
        <v>46284</v>
      </c>
      <c r="D631" s="35" t="s">
        <v>56</v>
      </c>
      <c r="E631" s="35" t="s">
        <v>33</v>
      </c>
      <c r="F631" s="35" t="s">
        <v>15</v>
      </c>
      <c r="G631" s="35"/>
      <c r="H631" s="37" t="n">
        <f aca="false">IFERROR(VLOOKUP(D631,Settings!$A$5:$C$14,3,FALSE()),"")</f>
        <v>6</v>
      </c>
      <c r="I631" s="37" t="n">
        <f aca="false">IF(C631="","",C631-B631)</f>
        <v>8</v>
      </c>
      <c r="J631" s="38" t="str">
        <f aca="false">IF(I631="","",IF(I631&gt;H631,"Delayed","On Time"))</f>
        <v>Delayed</v>
      </c>
      <c r="K631" s="37" t="n">
        <f aca="false">IF(J631="Delayed",I631-H631,"")</f>
        <v>2</v>
      </c>
    </row>
    <row r="632" customFormat="false" ht="15" hidden="false" customHeight="false" outlineLevel="0" collapsed="false">
      <c r="A632" s="35" t="s">
        <v>696</v>
      </c>
      <c r="B632" s="36" t="n">
        <v>46277</v>
      </c>
      <c r="C632" s="36" t="n">
        <v>46280</v>
      </c>
      <c r="D632" s="35" t="s">
        <v>46</v>
      </c>
      <c r="E632" s="35" t="s">
        <v>34</v>
      </c>
      <c r="F632" s="35" t="s">
        <v>15</v>
      </c>
      <c r="G632" s="35"/>
      <c r="H632" s="37" t="n">
        <f aca="false">IFERROR(VLOOKUP(D632,Settings!$A$5:$C$14,3,FALSE()),"")</f>
        <v>3</v>
      </c>
      <c r="I632" s="37" t="n">
        <f aca="false">IF(C632="","",C632-B632)</f>
        <v>3</v>
      </c>
      <c r="J632" s="38" t="str">
        <f aca="false">IF(I632="","",IF(I632&gt;H632,"Delayed","On Time"))</f>
        <v>On Time</v>
      </c>
      <c r="K632" s="37" t="str">
        <f aca="false">IF(J632="Delayed",I632-H632,"")</f>
        <v/>
      </c>
    </row>
    <row r="633" customFormat="false" ht="15" hidden="false" customHeight="false" outlineLevel="0" collapsed="false">
      <c r="A633" s="35" t="s">
        <v>697</v>
      </c>
      <c r="B633" s="36" t="n">
        <v>46277</v>
      </c>
      <c r="C633" s="36" t="n">
        <v>46281</v>
      </c>
      <c r="D633" s="35" t="s">
        <v>53</v>
      </c>
      <c r="E633" s="35" t="s">
        <v>33</v>
      </c>
      <c r="F633" s="35" t="s">
        <v>15</v>
      </c>
      <c r="G633" s="35"/>
      <c r="H633" s="37" t="n">
        <f aca="false">IFERROR(VLOOKUP(D633,Settings!$A$5:$C$14,3,FALSE()),"")</f>
        <v>5</v>
      </c>
      <c r="I633" s="37" t="n">
        <f aca="false">IF(C633="","",C633-B633)</f>
        <v>4</v>
      </c>
      <c r="J633" s="38" t="str">
        <f aca="false">IF(I633="","",IF(I633&gt;H633,"Delayed","On Time"))</f>
        <v>On Time</v>
      </c>
      <c r="K633" s="37" t="str">
        <f aca="false">IF(J633="Delayed",I633-H633,"")</f>
        <v/>
      </c>
    </row>
    <row r="634" customFormat="false" ht="15" hidden="false" customHeight="false" outlineLevel="0" collapsed="false">
      <c r="A634" s="35" t="s">
        <v>698</v>
      </c>
      <c r="B634" s="36" t="n">
        <v>46277</v>
      </c>
      <c r="C634" s="36" t="n">
        <v>46283</v>
      </c>
      <c r="D634" s="35" t="s">
        <v>48</v>
      </c>
      <c r="E634" s="35" t="s">
        <v>33</v>
      </c>
      <c r="F634" s="35" t="s">
        <v>15</v>
      </c>
      <c r="G634" s="35"/>
      <c r="H634" s="37" t="n">
        <f aca="false">IFERROR(VLOOKUP(D634,Settings!$A$5:$C$14,3,FALSE()),"")</f>
        <v>3</v>
      </c>
      <c r="I634" s="37" t="n">
        <f aca="false">IF(C634="","",C634-B634)</f>
        <v>6</v>
      </c>
      <c r="J634" s="38" t="str">
        <f aca="false">IF(I634="","",IF(I634&gt;H634,"Delayed","On Time"))</f>
        <v>Delayed</v>
      </c>
      <c r="K634" s="37" t="n">
        <f aca="false">IF(J634="Delayed",I634-H634,"")</f>
        <v>3</v>
      </c>
    </row>
    <row r="635" customFormat="false" ht="15" hidden="false" customHeight="false" outlineLevel="0" collapsed="false">
      <c r="A635" s="35" t="s">
        <v>699</v>
      </c>
      <c r="B635" s="36" t="n">
        <v>46277</v>
      </c>
      <c r="C635" s="36" t="n">
        <v>46281</v>
      </c>
      <c r="D635" s="35" t="s">
        <v>48</v>
      </c>
      <c r="E635" s="35" t="s">
        <v>33</v>
      </c>
      <c r="F635" s="35" t="s">
        <v>15</v>
      </c>
      <c r="G635" s="35"/>
      <c r="H635" s="37" t="n">
        <f aca="false">IFERROR(VLOOKUP(D635,Settings!$A$5:$C$14,3,FALSE()),"")</f>
        <v>3</v>
      </c>
      <c r="I635" s="37" t="n">
        <f aca="false">IF(C635="","",C635-B635)</f>
        <v>4</v>
      </c>
      <c r="J635" s="38" t="str">
        <f aca="false">IF(I635="","",IF(I635&gt;H635,"Delayed","On Time"))</f>
        <v>Delayed</v>
      </c>
      <c r="K635" s="37" t="n">
        <f aca="false">IF(J635="Delayed",I635-H635,"")</f>
        <v>1</v>
      </c>
    </row>
    <row r="636" customFormat="false" ht="15" hidden="false" customHeight="false" outlineLevel="0" collapsed="false">
      <c r="A636" s="35" t="s">
        <v>700</v>
      </c>
      <c r="B636" s="36" t="n">
        <v>46277</v>
      </c>
      <c r="C636" s="36" t="n">
        <v>46280</v>
      </c>
      <c r="D636" s="35" t="s">
        <v>48</v>
      </c>
      <c r="E636" s="35" t="s">
        <v>36</v>
      </c>
      <c r="F636" s="35" t="s">
        <v>15</v>
      </c>
      <c r="G636" s="35"/>
      <c r="H636" s="37" t="n">
        <f aca="false">IFERROR(VLOOKUP(D636,Settings!$A$5:$C$14,3,FALSE()),"")</f>
        <v>3</v>
      </c>
      <c r="I636" s="37" t="n">
        <f aca="false">IF(C636="","",C636-B636)</f>
        <v>3</v>
      </c>
      <c r="J636" s="38" t="str">
        <f aca="false">IF(I636="","",IF(I636&gt;H636,"Delayed","On Time"))</f>
        <v>On Time</v>
      </c>
      <c r="K636" s="37" t="str">
        <f aca="false">IF(J636="Delayed",I636-H636,"")</f>
        <v/>
      </c>
    </row>
    <row r="637" customFormat="false" ht="15" hidden="false" customHeight="false" outlineLevel="0" collapsed="false">
      <c r="A637" s="35" t="s">
        <v>701</v>
      </c>
      <c r="B637" s="36" t="n">
        <v>46278</v>
      </c>
      <c r="C637" s="36" t="n">
        <v>46282</v>
      </c>
      <c r="D637" s="35" t="s">
        <v>55</v>
      </c>
      <c r="E637" s="35" t="s">
        <v>36</v>
      </c>
      <c r="F637" s="35" t="s">
        <v>15</v>
      </c>
      <c r="G637" s="35"/>
      <c r="H637" s="37" t="n">
        <f aca="false">IFERROR(VLOOKUP(D637,Settings!$A$5:$C$14,3,FALSE()),"")</f>
        <v>5</v>
      </c>
      <c r="I637" s="37" t="n">
        <f aca="false">IF(C637="","",C637-B637)</f>
        <v>4</v>
      </c>
      <c r="J637" s="38" t="str">
        <f aca="false">IF(I637="","",IF(I637&gt;H637,"Delayed","On Time"))</f>
        <v>On Time</v>
      </c>
      <c r="K637" s="37" t="str">
        <f aca="false">IF(J637="Delayed",I637-H637,"")</f>
        <v/>
      </c>
    </row>
    <row r="638" customFormat="false" ht="15" hidden="false" customHeight="false" outlineLevel="0" collapsed="false">
      <c r="A638" s="35" t="s">
        <v>702</v>
      </c>
      <c r="B638" s="36" t="n">
        <v>46278</v>
      </c>
      <c r="C638" s="36"/>
      <c r="D638" s="35" t="s">
        <v>44</v>
      </c>
      <c r="E638" s="35" t="s">
        <v>33</v>
      </c>
      <c r="F638" s="35" t="s">
        <v>18</v>
      </c>
      <c r="G638" s="35" t="s">
        <v>47</v>
      </c>
      <c r="H638" s="37" t="n">
        <f aca="false">IFERROR(VLOOKUP(D638,Settings!$A$5:$C$14,3,FALSE()),"")</f>
        <v>3</v>
      </c>
      <c r="I638" s="37" t="str">
        <f aca="false">IF(C638="","",C638-B638)</f>
        <v/>
      </c>
      <c r="J638" s="38" t="str">
        <f aca="false">IF(I638="","",IF(I638&gt;H638,"Delayed","On Time"))</f>
        <v/>
      </c>
      <c r="K638" s="37" t="str">
        <f aca="false">IF(J638="Delayed",I638-H638,"")</f>
        <v/>
      </c>
    </row>
    <row r="639" customFormat="false" ht="15" hidden="false" customHeight="false" outlineLevel="0" collapsed="false">
      <c r="A639" s="35" t="s">
        <v>703</v>
      </c>
      <c r="B639" s="36" t="n">
        <v>46278</v>
      </c>
      <c r="C639" s="36" t="n">
        <v>46280</v>
      </c>
      <c r="D639" s="35" t="s">
        <v>50</v>
      </c>
      <c r="E639" s="35" t="s">
        <v>33</v>
      </c>
      <c r="F639" s="35" t="s">
        <v>15</v>
      </c>
      <c r="G639" s="35"/>
      <c r="H639" s="37" t="n">
        <f aca="false">IFERROR(VLOOKUP(D639,Settings!$A$5:$C$14,3,FALSE()),"")</f>
        <v>3</v>
      </c>
      <c r="I639" s="37" t="n">
        <f aca="false">IF(C639="","",C639-B639)</f>
        <v>2</v>
      </c>
      <c r="J639" s="38" t="str">
        <f aca="false">IF(I639="","",IF(I639&gt;H639,"Delayed","On Time"))</f>
        <v>On Time</v>
      </c>
      <c r="K639" s="37" t="str">
        <f aca="false">IF(J639="Delayed",I639-H639,"")</f>
        <v/>
      </c>
    </row>
    <row r="640" customFormat="false" ht="15" hidden="false" customHeight="false" outlineLevel="0" collapsed="false">
      <c r="A640" s="35" t="s">
        <v>704</v>
      </c>
      <c r="B640" s="36" t="n">
        <v>46278</v>
      </c>
      <c r="C640" s="36" t="n">
        <v>46280</v>
      </c>
      <c r="D640" s="35" t="s">
        <v>48</v>
      </c>
      <c r="E640" s="35" t="s">
        <v>36</v>
      </c>
      <c r="F640" s="35" t="s">
        <v>17</v>
      </c>
      <c r="G640" s="35" t="s">
        <v>43</v>
      </c>
      <c r="H640" s="37" t="n">
        <f aca="false">IFERROR(VLOOKUP(D640,Settings!$A$5:$C$14,3,FALSE()),"")</f>
        <v>3</v>
      </c>
      <c r="I640" s="37" t="n">
        <f aca="false">IF(C640="","",C640-B640)</f>
        <v>2</v>
      </c>
      <c r="J640" s="38" t="str">
        <f aca="false">IF(I640="","",IF(I640&gt;H640,"Delayed","On Time"))</f>
        <v>On Time</v>
      </c>
      <c r="K640" s="37" t="str">
        <f aca="false">IF(J640="Delayed",I640-H640,"")</f>
        <v/>
      </c>
    </row>
    <row r="641" customFormat="false" ht="15" hidden="false" customHeight="false" outlineLevel="0" collapsed="false">
      <c r="A641" s="35" t="s">
        <v>705</v>
      </c>
      <c r="B641" s="36" t="n">
        <v>46278</v>
      </c>
      <c r="C641" s="36" t="n">
        <v>46283</v>
      </c>
      <c r="D641" s="35" t="s">
        <v>44</v>
      </c>
      <c r="E641" s="35" t="s">
        <v>34</v>
      </c>
      <c r="F641" s="35" t="s">
        <v>15</v>
      </c>
      <c r="G641" s="35"/>
      <c r="H641" s="37" t="n">
        <f aca="false">IFERROR(VLOOKUP(D641,Settings!$A$5:$C$14,3,FALSE()),"")</f>
        <v>3</v>
      </c>
      <c r="I641" s="37" t="n">
        <f aca="false">IF(C641="","",C641-B641)</f>
        <v>5</v>
      </c>
      <c r="J641" s="38" t="str">
        <f aca="false">IF(I641="","",IF(I641&gt;H641,"Delayed","On Time"))</f>
        <v>Delayed</v>
      </c>
      <c r="K641" s="37" t="n">
        <f aca="false">IF(J641="Delayed",I641-H641,"")</f>
        <v>2</v>
      </c>
    </row>
    <row r="642" customFormat="false" ht="15" hidden="false" customHeight="false" outlineLevel="0" collapsed="false">
      <c r="A642" s="35" t="s">
        <v>706</v>
      </c>
      <c r="B642" s="36" t="n">
        <v>46278</v>
      </c>
      <c r="C642" s="36" t="n">
        <v>46282</v>
      </c>
      <c r="D642" s="35" t="s">
        <v>53</v>
      </c>
      <c r="E642" s="35" t="s">
        <v>34</v>
      </c>
      <c r="F642" s="35" t="s">
        <v>15</v>
      </c>
      <c r="G642" s="35"/>
      <c r="H642" s="37" t="n">
        <f aca="false">IFERROR(VLOOKUP(D642,Settings!$A$5:$C$14,3,FALSE()),"")</f>
        <v>5</v>
      </c>
      <c r="I642" s="37" t="n">
        <f aca="false">IF(C642="","",C642-B642)</f>
        <v>4</v>
      </c>
      <c r="J642" s="38" t="str">
        <f aca="false">IF(I642="","",IF(I642&gt;H642,"Delayed","On Time"))</f>
        <v>On Time</v>
      </c>
      <c r="K642" s="37" t="str">
        <f aca="false">IF(J642="Delayed",I642-H642,"")</f>
        <v/>
      </c>
    </row>
    <row r="643" customFormat="false" ht="15" hidden="false" customHeight="false" outlineLevel="0" collapsed="false">
      <c r="A643" s="35" t="s">
        <v>707</v>
      </c>
      <c r="B643" s="36" t="n">
        <v>46278</v>
      </c>
      <c r="C643" s="36" t="n">
        <v>46280</v>
      </c>
      <c r="D643" s="35" t="s">
        <v>48</v>
      </c>
      <c r="E643" s="35" t="s">
        <v>35</v>
      </c>
      <c r="F643" s="35" t="s">
        <v>15</v>
      </c>
      <c r="G643" s="35"/>
      <c r="H643" s="37" t="n">
        <f aca="false">IFERROR(VLOOKUP(D643,Settings!$A$5:$C$14,3,FALSE()),"")</f>
        <v>3</v>
      </c>
      <c r="I643" s="37" t="n">
        <f aca="false">IF(C643="","",C643-B643)</f>
        <v>2</v>
      </c>
      <c r="J643" s="38" t="str">
        <f aca="false">IF(I643="","",IF(I643&gt;H643,"Delayed","On Time"))</f>
        <v>On Time</v>
      </c>
      <c r="K643" s="37" t="str">
        <f aca="false">IF(J643="Delayed",I643-H643,"")</f>
        <v/>
      </c>
    </row>
    <row r="644" customFormat="false" ht="15" hidden="false" customHeight="false" outlineLevel="0" collapsed="false">
      <c r="A644" s="35" t="s">
        <v>708</v>
      </c>
      <c r="B644" s="36" t="n">
        <v>46278</v>
      </c>
      <c r="C644" s="36" t="n">
        <v>46284</v>
      </c>
      <c r="D644" s="35" t="s">
        <v>44</v>
      </c>
      <c r="E644" s="35" t="s">
        <v>34</v>
      </c>
      <c r="F644" s="35" t="s">
        <v>15</v>
      </c>
      <c r="G644" s="35"/>
      <c r="H644" s="37" t="n">
        <f aca="false">IFERROR(VLOOKUP(D644,Settings!$A$5:$C$14,3,FALSE()),"")</f>
        <v>3</v>
      </c>
      <c r="I644" s="37" t="n">
        <f aca="false">IF(C644="","",C644-B644)</f>
        <v>6</v>
      </c>
      <c r="J644" s="38" t="str">
        <f aca="false">IF(I644="","",IF(I644&gt;H644,"Delayed","On Time"))</f>
        <v>Delayed</v>
      </c>
      <c r="K644" s="37" t="n">
        <f aca="false">IF(J644="Delayed",I644-H644,"")</f>
        <v>3</v>
      </c>
    </row>
    <row r="645" customFormat="false" ht="15" hidden="false" customHeight="false" outlineLevel="0" collapsed="false">
      <c r="A645" s="35" t="s">
        <v>709</v>
      </c>
      <c r="B645" s="36" t="n">
        <v>46278</v>
      </c>
      <c r="C645" s="36" t="n">
        <v>46283</v>
      </c>
      <c r="D645" s="35" t="s">
        <v>52</v>
      </c>
      <c r="E645" s="35" t="s">
        <v>33</v>
      </c>
      <c r="F645" s="35" t="s">
        <v>15</v>
      </c>
      <c r="G645" s="35"/>
      <c r="H645" s="37" t="n">
        <f aca="false">IFERROR(VLOOKUP(D645,Settings!$A$5:$C$14,3,FALSE()),"")</f>
        <v>4</v>
      </c>
      <c r="I645" s="37" t="n">
        <f aca="false">IF(C645="","",C645-B645)</f>
        <v>5</v>
      </c>
      <c r="J645" s="38" t="str">
        <f aca="false">IF(I645="","",IF(I645&gt;H645,"Delayed","On Time"))</f>
        <v>Delayed</v>
      </c>
      <c r="K645" s="37" t="n">
        <f aca="false">IF(J645="Delayed",I645-H645,"")</f>
        <v>1</v>
      </c>
    </row>
    <row r="646" customFormat="false" ht="15" hidden="false" customHeight="false" outlineLevel="0" collapsed="false">
      <c r="A646" s="35" t="s">
        <v>710</v>
      </c>
      <c r="B646" s="36" t="n">
        <v>46278</v>
      </c>
      <c r="C646" s="36" t="n">
        <v>46280</v>
      </c>
      <c r="D646" s="35" t="s">
        <v>46</v>
      </c>
      <c r="E646" s="35" t="s">
        <v>36</v>
      </c>
      <c r="F646" s="35" t="s">
        <v>15</v>
      </c>
      <c r="G646" s="35"/>
      <c r="H646" s="37" t="n">
        <f aca="false">IFERROR(VLOOKUP(D646,Settings!$A$5:$C$14,3,FALSE()),"")</f>
        <v>3</v>
      </c>
      <c r="I646" s="37" t="n">
        <f aca="false">IF(C646="","",C646-B646)</f>
        <v>2</v>
      </c>
      <c r="J646" s="38" t="str">
        <f aca="false">IF(I646="","",IF(I646&gt;H646,"Delayed","On Time"))</f>
        <v>On Time</v>
      </c>
      <c r="K646" s="37" t="str">
        <f aca="false">IF(J646="Delayed",I646-H646,"")</f>
        <v/>
      </c>
    </row>
    <row r="647" customFormat="false" ht="15" hidden="false" customHeight="false" outlineLevel="0" collapsed="false">
      <c r="A647" s="35" t="s">
        <v>711</v>
      </c>
      <c r="B647" s="36" t="n">
        <v>46278</v>
      </c>
      <c r="C647" s="36" t="n">
        <v>46281</v>
      </c>
      <c r="D647" s="35" t="s">
        <v>44</v>
      </c>
      <c r="E647" s="35" t="s">
        <v>34</v>
      </c>
      <c r="F647" s="35" t="s">
        <v>15</v>
      </c>
      <c r="G647" s="35"/>
      <c r="H647" s="37" t="n">
        <f aca="false">IFERROR(VLOOKUP(D647,Settings!$A$5:$C$14,3,FALSE()),"")</f>
        <v>3</v>
      </c>
      <c r="I647" s="37" t="n">
        <f aca="false">IF(C647="","",C647-B647)</f>
        <v>3</v>
      </c>
      <c r="J647" s="38" t="str">
        <f aca="false">IF(I647="","",IF(I647&gt;H647,"Delayed","On Time"))</f>
        <v>On Time</v>
      </c>
      <c r="K647" s="37" t="str">
        <f aca="false">IF(J647="Delayed",I647-H647,"")</f>
        <v/>
      </c>
    </row>
    <row r="648" customFormat="false" ht="15" hidden="false" customHeight="false" outlineLevel="0" collapsed="false">
      <c r="A648" s="35" t="s">
        <v>712</v>
      </c>
      <c r="B648" s="36" t="n">
        <v>46279</v>
      </c>
      <c r="C648" s="36" t="n">
        <v>46283</v>
      </c>
      <c r="D648" s="35" t="s">
        <v>44</v>
      </c>
      <c r="E648" s="35" t="s">
        <v>35</v>
      </c>
      <c r="F648" s="35" t="s">
        <v>15</v>
      </c>
      <c r="G648" s="35"/>
      <c r="H648" s="37" t="n">
        <f aca="false">IFERROR(VLOOKUP(D648,Settings!$A$5:$C$14,3,FALSE()),"")</f>
        <v>3</v>
      </c>
      <c r="I648" s="37" t="n">
        <f aca="false">IF(C648="","",C648-B648)</f>
        <v>4</v>
      </c>
      <c r="J648" s="38" t="str">
        <f aca="false">IF(I648="","",IF(I648&gt;H648,"Delayed","On Time"))</f>
        <v>Delayed</v>
      </c>
      <c r="K648" s="37" t="n">
        <f aca="false">IF(J648="Delayed",I648-H648,"")</f>
        <v>1</v>
      </c>
    </row>
    <row r="649" customFormat="false" ht="15" hidden="false" customHeight="false" outlineLevel="0" collapsed="false">
      <c r="A649" s="35" t="s">
        <v>713</v>
      </c>
      <c r="B649" s="36" t="n">
        <v>46279</v>
      </c>
      <c r="C649" s="36" t="n">
        <v>46282</v>
      </c>
      <c r="D649" s="35" t="s">
        <v>46</v>
      </c>
      <c r="E649" s="35" t="s">
        <v>36</v>
      </c>
      <c r="F649" s="35" t="s">
        <v>15</v>
      </c>
      <c r="G649" s="35"/>
      <c r="H649" s="37" t="n">
        <f aca="false">IFERROR(VLOOKUP(D649,Settings!$A$5:$C$14,3,FALSE()),"")</f>
        <v>3</v>
      </c>
      <c r="I649" s="37" t="n">
        <f aca="false">IF(C649="","",C649-B649)</f>
        <v>3</v>
      </c>
      <c r="J649" s="38" t="str">
        <f aca="false">IF(I649="","",IF(I649&gt;H649,"Delayed","On Time"))</f>
        <v>On Time</v>
      </c>
      <c r="K649" s="37" t="str">
        <f aca="false">IF(J649="Delayed",I649-H649,"")</f>
        <v/>
      </c>
    </row>
    <row r="650" customFormat="false" ht="15" hidden="false" customHeight="false" outlineLevel="0" collapsed="false">
      <c r="A650" s="35" t="s">
        <v>714</v>
      </c>
      <c r="B650" s="36" t="n">
        <v>46279</v>
      </c>
      <c r="C650" s="36" t="n">
        <v>46282</v>
      </c>
      <c r="D650" s="35" t="s">
        <v>46</v>
      </c>
      <c r="E650" s="35" t="s">
        <v>33</v>
      </c>
      <c r="F650" s="35" t="s">
        <v>15</v>
      </c>
      <c r="G650" s="35"/>
      <c r="H650" s="37" t="n">
        <f aca="false">IFERROR(VLOOKUP(D650,Settings!$A$5:$C$14,3,FALSE()),"")</f>
        <v>3</v>
      </c>
      <c r="I650" s="37" t="n">
        <f aca="false">IF(C650="","",C650-B650)</f>
        <v>3</v>
      </c>
      <c r="J650" s="38" t="str">
        <f aca="false">IF(I650="","",IF(I650&gt;H650,"Delayed","On Time"))</f>
        <v>On Time</v>
      </c>
      <c r="K650" s="37" t="str">
        <f aca="false">IF(J650="Delayed",I650-H650,"")</f>
        <v/>
      </c>
    </row>
    <row r="651" customFormat="false" ht="15" hidden="false" customHeight="false" outlineLevel="0" collapsed="false">
      <c r="A651" s="35" t="s">
        <v>715</v>
      </c>
      <c r="B651" s="36" t="n">
        <v>46279</v>
      </c>
      <c r="C651" s="36" t="n">
        <v>46283</v>
      </c>
      <c r="D651" s="35" t="s">
        <v>48</v>
      </c>
      <c r="E651" s="35" t="s">
        <v>36</v>
      </c>
      <c r="F651" s="35" t="s">
        <v>15</v>
      </c>
      <c r="G651" s="35"/>
      <c r="H651" s="37" t="n">
        <f aca="false">IFERROR(VLOOKUP(D651,Settings!$A$5:$C$14,3,FALSE()),"")</f>
        <v>3</v>
      </c>
      <c r="I651" s="37" t="n">
        <f aca="false">IF(C651="","",C651-B651)</f>
        <v>4</v>
      </c>
      <c r="J651" s="38" t="str">
        <f aca="false">IF(I651="","",IF(I651&gt;H651,"Delayed","On Time"))</f>
        <v>Delayed</v>
      </c>
      <c r="K651" s="37" t="n">
        <f aca="false">IF(J651="Delayed",I651-H651,"")</f>
        <v>1</v>
      </c>
    </row>
    <row r="652" customFormat="false" ht="15" hidden="false" customHeight="false" outlineLevel="0" collapsed="false">
      <c r="A652" s="35" t="s">
        <v>716</v>
      </c>
      <c r="B652" s="36" t="n">
        <v>46279</v>
      </c>
      <c r="C652" s="36" t="n">
        <v>46280</v>
      </c>
      <c r="D652" s="35" t="s">
        <v>44</v>
      </c>
      <c r="E652" s="35" t="s">
        <v>36</v>
      </c>
      <c r="F652" s="35" t="s">
        <v>15</v>
      </c>
      <c r="G652" s="35"/>
      <c r="H652" s="37" t="n">
        <f aca="false">IFERROR(VLOOKUP(D652,Settings!$A$5:$C$14,3,FALSE()),"")</f>
        <v>3</v>
      </c>
      <c r="I652" s="37" t="n">
        <f aca="false">IF(C652="","",C652-B652)</f>
        <v>1</v>
      </c>
      <c r="J652" s="38" t="str">
        <f aca="false">IF(I652="","",IF(I652&gt;H652,"Delayed","On Time"))</f>
        <v>On Time</v>
      </c>
      <c r="K652" s="37" t="str">
        <f aca="false">IF(J652="Delayed",I652-H652,"")</f>
        <v/>
      </c>
    </row>
    <row r="653" customFormat="false" ht="15" hidden="false" customHeight="false" outlineLevel="0" collapsed="false">
      <c r="A653" s="35" t="s">
        <v>717</v>
      </c>
      <c r="B653" s="36" t="n">
        <v>46279</v>
      </c>
      <c r="C653" s="36" t="n">
        <v>46283</v>
      </c>
      <c r="D653" s="35" t="s">
        <v>50</v>
      </c>
      <c r="E653" s="35" t="s">
        <v>35</v>
      </c>
      <c r="F653" s="35" t="s">
        <v>15</v>
      </c>
      <c r="G653" s="35"/>
      <c r="H653" s="37" t="n">
        <f aca="false">IFERROR(VLOOKUP(D653,Settings!$A$5:$C$14,3,FALSE()),"")</f>
        <v>3</v>
      </c>
      <c r="I653" s="37" t="n">
        <f aca="false">IF(C653="","",C653-B653)</f>
        <v>4</v>
      </c>
      <c r="J653" s="38" t="str">
        <f aca="false">IF(I653="","",IF(I653&gt;H653,"Delayed","On Time"))</f>
        <v>Delayed</v>
      </c>
      <c r="K653" s="37" t="n">
        <f aca="false">IF(J653="Delayed",I653-H653,"")</f>
        <v>1</v>
      </c>
    </row>
    <row r="654" customFormat="false" ht="15" hidden="false" customHeight="false" outlineLevel="0" collapsed="false">
      <c r="A654" s="35" t="s">
        <v>718</v>
      </c>
      <c r="B654" s="36" t="n">
        <v>46279</v>
      </c>
      <c r="C654" s="36" t="n">
        <v>46281</v>
      </c>
      <c r="D654" s="35" t="s">
        <v>44</v>
      </c>
      <c r="E654" s="35" t="s">
        <v>36</v>
      </c>
      <c r="F654" s="35" t="s">
        <v>15</v>
      </c>
      <c r="G654" s="35"/>
      <c r="H654" s="37" t="n">
        <f aca="false">IFERROR(VLOOKUP(D654,Settings!$A$5:$C$14,3,FALSE()),"")</f>
        <v>3</v>
      </c>
      <c r="I654" s="37" t="n">
        <f aca="false">IF(C654="","",C654-B654)</f>
        <v>2</v>
      </c>
      <c r="J654" s="38" t="str">
        <f aca="false">IF(I654="","",IF(I654&gt;H654,"Delayed","On Time"))</f>
        <v>On Time</v>
      </c>
      <c r="K654" s="37" t="str">
        <f aca="false">IF(J654="Delayed",I654-H654,"")</f>
        <v/>
      </c>
    </row>
    <row r="655" customFormat="false" ht="15" hidden="false" customHeight="false" outlineLevel="0" collapsed="false">
      <c r="A655" s="35" t="s">
        <v>719</v>
      </c>
      <c r="B655" s="36" t="n">
        <v>46280</v>
      </c>
      <c r="C655" s="36" t="n">
        <v>46283</v>
      </c>
      <c r="D655" s="35" t="s">
        <v>44</v>
      </c>
      <c r="E655" s="35" t="s">
        <v>36</v>
      </c>
      <c r="F655" s="35" t="s">
        <v>15</v>
      </c>
      <c r="G655" s="35"/>
      <c r="H655" s="37" t="n">
        <f aca="false">IFERROR(VLOOKUP(D655,Settings!$A$5:$C$14,3,FALSE()),"")</f>
        <v>3</v>
      </c>
      <c r="I655" s="37" t="n">
        <f aca="false">IF(C655="","",C655-B655)</f>
        <v>3</v>
      </c>
      <c r="J655" s="38" t="str">
        <f aca="false">IF(I655="","",IF(I655&gt;H655,"Delayed","On Time"))</f>
        <v>On Time</v>
      </c>
      <c r="K655" s="37" t="str">
        <f aca="false">IF(J655="Delayed",I655-H655,"")</f>
        <v/>
      </c>
    </row>
    <row r="656" customFormat="false" ht="15" hidden="false" customHeight="false" outlineLevel="0" collapsed="false">
      <c r="A656" s="35" t="s">
        <v>720</v>
      </c>
      <c r="B656" s="36" t="n">
        <v>46280</v>
      </c>
      <c r="C656" s="36" t="n">
        <v>46281</v>
      </c>
      <c r="D656" s="35" t="s">
        <v>44</v>
      </c>
      <c r="E656" s="35" t="s">
        <v>33</v>
      </c>
      <c r="F656" s="35" t="s">
        <v>15</v>
      </c>
      <c r="G656" s="35"/>
      <c r="H656" s="37" t="n">
        <f aca="false">IFERROR(VLOOKUP(D656,Settings!$A$5:$C$14,3,FALSE()),"")</f>
        <v>3</v>
      </c>
      <c r="I656" s="37" t="n">
        <f aca="false">IF(C656="","",C656-B656)</f>
        <v>1</v>
      </c>
      <c r="J656" s="38" t="str">
        <f aca="false">IF(I656="","",IF(I656&gt;H656,"Delayed","On Time"))</f>
        <v>On Time</v>
      </c>
      <c r="K656" s="37" t="str">
        <f aca="false">IF(J656="Delayed",I656-H656,"")</f>
        <v/>
      </c>
    </row>
    <row r="657" customFormat="false" ht="15" hidden="false" customHeight="false" outlineLevel="0" collapsed="false">
      <c r="A657" s="35" t="s">
        <v>721</v>
      </c>
      <c r="B657" s="36" t="n">
        <v>46280</v>
      </c>
      <c r="C657" s="36" t="n">
        <v>46285</v>
      </c>
      <c r="D657" s="35" t="s">
        <v>52</v>
      </c>
      <c r="E657" s="35" t="s">
        <v>34</v>
      </c>
      <c r="F657" s="35" t="s">
        <v>15</v>
      </c>
      <c r="G657" s="35"/>
      <c r="H657" s="37" t="n">
        <f aca="false">IFERROR(VLOOKUP(D657,Settings!$A$5:$C$14,3,FALSE()),"")</f>
        <v>4</v>
      </c>
      <c r="I657" s="37" t="n">
        <f aca="false">IF(C657="","",C657-B657)</f>
        <v>5</v>
      </c>
      <c r="J657" s="38" t="str">
        <f aca="false">IF(I657="","",IF(I657&gt;H657,"Delayed","On Time"))</f>
        <v>Delayed</v>
      </c>
      <c r="K657" s="37" t="n">
        <f aca="false">IF(J657="Delayed",I657-H657,"")</f>
        <v>1</v>
      </c>
    </row>
    <row r="658" customFormat="false" ht="15" hidden="false" customHeight="false" outlineLevel="0" collapsed="false">
      <c r="A658" s="35" t="s">
        <v>722</v>
      </c>
      <c r="B658" s="36" t="n">
        <v>46280</v>
      </c>
      <c r="C658" s="36" t="n">
        <v>46285</v>
      </c>
      <c r="D658" s="35" t="s">
        <v>52</v>
      </c>
      <c r="E658" s="35" t="s">
        <v>33</v>
      </c>
      <c r="F658" s="35" t="s">
        <v>15</v>
      </c>
      <c r="G658" s="35"/>
      <c r="H658" s="37" t="n">
        <f aca="false">IFERROR(VLOOKUP(D658,Settings!$A$5:$C$14,3,FALSE()),"")</f>
        <v>4</v>
      </c>
      <c r="I658" s="37" t="n">
        <f aca="false">IF(C658="","",C658-B658)</f>
        <v>5</v>
      </c>
      <c r="J658" s="38" t="str">
        <f aca="false">IF(I658="","",IF(I658&gt;H658,"Delayed","On Time"))</f>
        <v>Delayed</v>
      </c>
      <c r="K658" s="37" t="n">
        <f aca="false">IF(J658="Delayed",I658-H658,"")</f>
        <v>1</v>
      </c>
    </row>
    <row r="659" customFormat="false" ht="15" hidden="false" customHeight="false" outlineLevel="0" collapsed="false">
      <c r="A659" s="35" t="s">
        <v>723</v>
      </c>
      <c r="B659" s="36" t="n">
        <v>46280</v>
      </c>
      <c r="C659" s="36" t="n">
        <v>46285</v>
      </c>
      <c r="D659" s="35" t="s">
        <v>44</v>
      </c>
      <c r="E659" s="35" t="s">
        <v>36</v>
      </c>
      <c r="F659" s="35" t="s">
        <v>15</v>
      </c>
      <c r="G659" s="35"/>
      <c r="H659" s="37" t="n">
        <f aca="false">IFERROR(VLOOKUP(D659,Settings!$A$5:$C$14,3,FALSE()),"")</f>
        <v>3</v>
      </c>
      <c r="I659" s="37" t="n">
        <f aca="false">IF(C659="","",C659-B659)</f>
        <v>5</v>
      </c>
      <c r="J659" s="38" t="str">
        <f aca="false">IF(I659="","",IF(I659&gt;H659,"Delayed","On Time"))</f>
        <v>Delayed</v>
      </c>
      <c r="K659" s="37" t="n">
        <f aca="false">IF(J659="Delayed",I659-H659,"")</f>
        <v>2</v>
      </c>
    </row>
    <row r="660" customFormat="false" ht="15" hidden="false" customHeight="false" outlineLevel="0" collapsed="false">
      <c r="A660" s="35" t="s">
        <v>724</v>
      </c>
      <c r="B660" s="36" t="n">
        <v>46280</v>
      </c>
      <c r="C660" s="36" t="n">
        <v>46282</v>
      </c>
      <c r="D660" s="35" t="s">
        <v>46</v>
      </c>
      <c r="E660" s="35" t="s">
        <v>33</v>
      </c>
      <c r="F660" s="35" t="s">
        <v>15</v>
      </c>
      <c r="G660" s="35"/>
      <c r="H660" s="37" t="n">
        <f aca="false">IFERROR(VLOOKUP(D660,Settings!$A$5:$C$14,3,FALSE()),"")</f>
        <v>3</v>
      </c>
      <c r="I660" s="37" t="n">
        <f aca="false">IF(C660="","",C660-B660)</f>
        <v>2</v>
      </c>
      <c r="J660" s="38" t="str">
        <f aca="false">IF(I660="","",IF(I660&gt;H660,"Delayed","On Time"))</f>
        <v>On Time</v>
      </c>
      <c r="K660" s="37" t="str">
        <f aca="false">IF(J660="Delayed",I660-H660,"")</f>
        <v/>
      </c>
    </row>
    <row r="661" customFormat="false" ht="15" hidden="false" customHeight="false" outlineLevel="0" collapsed="false">
      <c r="A661" s="35" t="s">
        <v>725</v>
      </c>
      <c r="B661" s="36" t="n">
        <v>46280</v>
      </c>
      <c r="C661" s="36" t="n">
        <v>46284</v>
      </c>
      <c r="D661" s="35" t="s">
        <v>54</v>
      </c>
      <c r="E661" s="35" t="s">
        <v>35</v>
      </c>
      <c r="F661" s="35" t="s">
        <v>15</v>
      </c>
      <c r="G661" s="35"/>
      <c r="H661" s="37" t="n">
        <f aca="false">IFERROR(VLOOKUP(D661,Settings!$A$5:$C$14,3,FALSE()),"")</f>
        <v>5</v>
      </c>
      <c r="I661" s="37" t="n">
        <f aca="false">IF(C661="","",C661-B661)</f>
        <v>4</v>
      </c>
      <c r="J661" s="38" t="str">
        <f aca="false">IF(I661="","",IF(I661&gt;H661,"Delayed","On Time"))</f>
        <v>On Time</v>
      </c>
      <c r="K661" s="37" t="str">
        <f aca="false">IF(J661="Delayed",I661-H661,"")</f>
        <v/>
      </c>
    </row>
    <row r="662" customFormat="false" ht="15" hidden="false" customHeight="false" outlineLevel="0" collapsed="false">
      <c r="A662" s="35" t="s">
        <v>726</v>
      </c>
      <c r="B662" s="36" t="n">
        <v>46281</v>
      </c>
      <c r="C662" s="36" t="n">
        <v>46284</v>
      </c>
      <c r="D662" s="35" t="s">
        <v>55</v>
      </c>
      <c r="E662" s="35" t="s">
        <v>36</v>
      </c>
      <c r="F662" s="35" t="s">
        <v>15</v>
      </c>
      <c r="G662" s="35"/>
      <c r="H662" s="37" t="n">
        <f aca="false">IFERROR(VLOOKUP(D662,Settings!$A$5:$C$14,3,FALSE()),"")</f>
        <v>5</v>
      </c>
      <c r="I662" s="37" t="n">
        <f aca="false">IF(C662="","",C662-B662)</f>
        <v>3</v>
      </c>
      <c r="J662" s="38" t="str">
        <f aca="false">IF(I662="","",IF(I662&gt;H662,"Delayed","On Time"))</f>
        <v>On Time</v>
      </c>
      <c r="K662" s="37" t="str">
        <f aca="false">IF(J662="Delayed",I662-H662,"")</f>
        <v/>
      </c>
    </row>
    <row r="663" customFormat="false" ht="15" hidden="false" customHeight="false" outlineLevel="0" collapsed="false">
      <c r="A663" s="35" t="s">
        <v>727</v>
      </c>
      <c r="B663" s="36" t="n">
        <v>46281</v>
      </c>
      <c r="C663" s="36" t="n">
        <v>46284</v>
      </c>
      <c r="D663" s="35" t="s">
        <v>46</v>
      </c>
      <c r="E663" s="35" t="s">
        <v>35</v>
      </c>
      <c r="F663" s="35" t="s">
        <v>15</v>
      </c>
      <c r="G663" s="35"/>
      <c r="H663" s="37" t="n">
        <f aca="false">IFERROR(VLOOKUP(D663,Settings!$A$5:$C$14,3,FALSE()),"")</f>
        <v>3</v>
      </c>
      <c r="I663" s="37" t="n">
        <f aca="false">IF(C663="","",C663-B663)</f>
        <v>3</v>
      </c>
      <c r="J663" s="38" t="str">
        <f aca="false">IF(I663="","",IF(I663&gt;H663,"Delayed","On Time"))</f>
        <v>On Time</v>
      </c>
      <c r="K663" s="37" t="str">
        <f aca="false">IF(J663="Delayed",I663-H663,"")</f>
        <v/>
      </c>
    </row>
    <row r="664" customFormat="false" ht="15" hidden="false" customHeight="false" outlineLevel="0" collapsed="false">
      <c r="A664" s="35" t="s">
        <v>728</v>
      </c>
      <c r="B664" s="36" t="n">
        <v>46281</v>
      </c>
      <c r="C664" s="36" t="n">
        <v>46284</v>
      </c>
      <c r="D664" s="35" t="s">
        <v>50</v>
      </c>
      <c r="E664" s="35" t="s">
        <v>36</v>
      </c>
      <c r="F664" s="35" t="s">
        <v>15</v>
      </c>
      <c r="G664" s="35"/>
      <c r="H664" s="37" t="n">
        <f aca="false">IFERROR(VLOOKUP(D664,Settings!$A$5:$C$14,3,FALSE()),"")</f>
        <v>3</v>
      </c>
      <c r="I664" s="37" t="n">
        <f aca="false">IF(C664="","",C664-B664)</f>
        <v>3</v>
      </c>
      <c r="J664" s="38" t="str">
        <f aca="false">IF(I664="","",IF(I664&gt;H664,"Delayed","On Time"))</f>
        <v>On Time</v>
      </c>
      <c r="K664" s="37" t="str">
        <f aca="false">IF(J664="Delayed",I664-H664,"")</f>
        <v/>
      </c>
    </row>
    <row r="665" customFormat="false" ht="15" hidden="false" customHeight="false" outlineLevel="0" collapsed="false">
      <c r="A665" s="35" t="s">
        <v>729</v>
      </c>
      <c r="B665" s="36" t="n">
        <v>46281</v>
      </c>
      <c r="C665" s="36" t="n">
        <v>46284</v>
      </c>
      <c r="D665" s="35" t="s">
        <v>48</v>
      </c>
      <c r="E665" s="35" t="s">
        <v>35</v>
      </c>
      <c r="F665" s="35" t="s">
        <v>15</v>
      </c>
      <c r="G665" s="35"/>
      <c r="H665" s="37" t="n">
        <f aca="false">IFERROR(VLOOKUP(D665,Settings!$A$5:$C$14,3,FALSE()),"")</f>
        <v>3</v>
      </c>
      <c r="I665" s="37" t="n">
        <f aca="false">IF(C665="","",C665-B665)</f>
        <v>3</v>
      </c>
      <c r="J665" s="38" t="str">
        <f aca="false">IF(I665="","",IF(I665&gt;H665,"Delayed","On Time"))</f>
        <v>On Time</v>
      </c>
      <c r="K665" s="37" t="str">
        <f aca="false">IF(J665="Delayed",I665-H665,"")</f>
        <v/>
      </c>
    </row>
    <row r="666" customFormat="false" ht="15" hidden="false" customHeight="false" outlineLevel="0" collapsed="false">
      <c r="A666" s="35" t="s">
        <v>730</v>
      </c>
      <c r="B666" s="36" t="n">
        <v>46281</v>
      </c>
      <c r="C666" s="36"/>
      <c r="D666" s="35" t="s">
        <v>48</v>
      </c>
      <c r="E666" s="35" t="s">
        <v>34</v>
      </c>
      <c r="F666" s="35" t="s">
        <v>18</v>
      </c>
      <c r="G666" s="35" t="s">
        <v>49</v>
      </c>
      <c r="H666" s="37" t="n">
        <f aca="false">IFERROR(VLOOKUP(D666,Settings!$A$5:$C$14,3,FALSE()),"")</f>
        <v>3</v>
      </c>
      <c r="I666" s="37" t="str">
        <f aca="false">IF(C666="","",C666-B666)</f>
        <v/>
      </c>
      <c r="J666" s="38" t="str">
        <f aca="false">IF(I666="","",IF(I666&gt;H666,"Delayed","On Time"))</f>
        <v/>
      </c>
      <c r="K666" s="37" t="str">
        <f aca="false">IF(J666="Delayed",I666-H666,"")</f>
        <v/>
      </c>
    </row>
    <row r="667" customFormat="false" ht="15" hidden="false" customHeight="false" outlineLevel="0" collapsed="false">
      <c r="A667" s="35" t="s">
        <v>731</v>
      </c>
      <c r="B667" s="36" t="n">
        <v>46281</v>
      </c>
      <c r="C667" s="36" t="n">
        <v>46285</v>
      </c>
      <c r="D667" s="35" t="s">
        <v>52</v>
      </c>
      <c r="E667" s="35" t="s">
        <v>35</v>
      </c>
      <c r="F667" s="35" t="s">
        <v>15</v>
      </c>
      <c r="G667" s="35"/>
      <c r="H667" s="37" t="n">
        <f aca="false">IFERROR(VLOOKUP(D667,Settings!$A$5:$C$14,3,FALSE()),"")</f>
        <v>4</v>
      </c>
      <c r="I667" s="37" t="n">
        <f aca="false">IF(C667="","",C667-B667)</f>
        <v>4</v>
      </c>
      <c r="J667" s="38" t="str">
        <f aca="false">IF(I667="","",IF(I667&gt;H667,"Delayed","On Time"))</f>
        <v>On Time</v>
      </c>
      <c r="K667" s="37" t="str">
        <f aca="false">IF(J667="Delayed",I667-H667,"")</f>
        <v/>
      </c>
    </row>
    <row r="668" customFormat="false" ht="15" hidden="false" customHeight="false" outlineLevel="0" collapsed="false">
      <c r="A668" s="35" t="s">
        <v>732</v>
      </c>
      <c r="B668" s="36" t="n">
        <v>46281</v>
      </c>
      <c r="C668" s="36" t="n">
        <v>46283</v>
      </c>
      <c r="D668" s="35" t="s">
        <v>52</v>
      </c>
      <c r="E668" s="35" t="s">
        <v>33</v>
      </c>
      <c r="F668" s="35" t="s">
        <v>15</v>
      </c>
      <c r="G668" s="35"/>
      <c r="H668" s="37" t="n">
        <f aca="false">IFERROR(VLOOKUP(D668,Settings!$A$5:$C$14,3,FALSE()),"")</f>
        <v>4</v>
      </c>
      <c r="I668" s="37" t="n">
        <f aca="false">IF(C668="","",C668-B668)</f>
        <v>2</v>
      </c>
      <c r="J668" s="38" t="str">
        <f aca="false">IF(I668="","",IF(I668&gt;H668,"Delayed","On Time"))</f>
        <v>On Time</v>
      </c>
      <c r="K668" s="37" t="str">
        <f aca="false">IF(J668="Delayed",I668-H668,"")</f>
        <v/>
      </c>
    </row>
    <row r="669" customFormat="false" ht="15" hidden="false" customHeight="false" outlineLevel="0" collapsed="false">
      <c r="A669" s="35" t="s">
        <v>733</v>
      </c>
      <c r="B669" s="36" t="n">
        <v>46281</v>
      </c>
      <c r="C669" s="36" t="n">
        <v>46284</v>
      </c>
      <c r="D669" s="35" t="s">
        <v>44</v>
      </c>
      <c r="E669" s="35" t="s">
        <v>34</v>
      </c>
      <c r="F669" s="35" t="s">
        <v>15</v>
      </c>
      <c r="G669" s="35"/>
      <c r="H669" s="37" t="n">
        <f aca="false">IFERROR(VLOOKUP(D669,Settings!$A$5:$C$14,3,FALSE()),"")</f>
        <v>3</v>
      </c>
      <c r="I669" s="37" t="n">
        <f aca="false">IF(C669="","",C669-B669)</f>
        <v>3</v>
      </c>
      <c r="J669" s="38" t="str">
        <f aca="false">IF(I669="","",IF(I669&gt;H669,"Delayed","On Time"))</f>
        <v>On Time</v>
      </c>
      <c r="K669" s="37" t="str">
        <f aca="false">IF(J669="Delayed",I669-H669,"")</f>
        <v/>
      </c>
    </row>
    <row r="670" customFormat="false" ht="15" hidden="false" customHeight="false" outlineLevel="0" collapsed="false">
      <c r="A670" s="35" t="s">
        <v>734</v>
      </c>
      <c r="B670" s="36" t="n">
        <v>46281</v>
      </c>
      <c r="C670" s="36" t="n">
        <v>46284</v>
      </c>
      <c r="D670" s="35" t="s">
        <v>44</v>
      </c>
      <c r="E670" s="35" t="s">
        <v>33</v>
      </c>
      <c r="F670" s="35" t="s">
        <v>15</v>
      </c>
      <c r="G670" s="35"/>
      <c r="H670" s="37" t="n">
        <f aca="false">IFERROR(VLOOKUP(D670,Settings!$A$5:$C$14,3,FALSE()),"")</f>
        <v>3</v>
      </c>
      <c r="I670" s="37" t="n">
        <f aca="false">IF(C670="","",C670-B670)</f>
        <v>3</v>
      </c>
      <c r="J670" s="38" t="str">
        <f aca="false">IF(I670="","",IF(I670&gt;H670,"Delayed","On Time"))</f>
        <v>On Time</v>
      </c>
      <c r="K670" s="37" t="str">
        <f aca="false">IF(J670="Delayed",I670-H670,"")</f>
        <v/>
      </c>
    </row>
    <row r="671" customFormat="false" ht="15" hidden="false" customHeight="false" outlineLevel="0" collapsed="false">
      <c r="A671" s="35" t="s">
        <v>735</v>
      </c>
      <c r="B671" s="36" t="n">
        <v>46281</v>
      </c>
      <c r="C671" s="36" t="n">
        <v>46283</v>
      </c>
      <c r="D671" s="35" t="s">
        <v>44</v>
      </c>
      <c r="E671" s="35" t="s">
        <v>34</v>
      </c>
      <c r="F671" s="35" t="s">
        <v>15</v>
      </c>
      <c r="G671" s="35"/>
      <c r="H671" s="37" t="n">
        <f aca="false">IFERROR(VLOOKUP(D671,Settings!$A$5:$C$14,3,FALSE()),"")</f>
        <v>3</v>
      </c>
      <c r="I671" s="37" t="n">
        <f aca="false">IF(C671="","",C671-B671)</f>
        <v>2</v>
      </c>
      <c r="J671" s="38" t="str">
        <f aca="false">IF(I671="","",IF(I671&gt;H671,"Delayed","On Time"))</f>
        <v>On Time</v>
      </c>
      <c r="K671" s="37" t="str">
        <f aca="false">IF(J671="Delayed",I671-H671,"")</f>
        <v/>
      </c>
    </row>
    <row r="672" customFormat="false" ht="15" hidden="false" customHeight="false" outlineLevel="0" collapsed="false">
      <c r="A672" s="35" t="s">
        <v>736</v>
      </c>
      <c r="B672" s="36" t="n">
        <v>46281</v>
      </c>
      <c r="C672" s="36" t="n">
        <v>46283</v>
      </c>
      <c r="D672" s="35" t="s">
        <v>44</v>
      </c>
      <c r="E672" s="35" t="s">
        <v>34</v>
      </c>
      <c r="F672" s="35" t="s">
        <v>15</v>
      </c>
      <c r="G672" s="35"/>
      <c r="H672" s="37" t="n">
        <f aca="false">IFERROR(VLOOKUP(D672,Settings!$A$5:$C$14,3,FALSE()),"")</f>
        <v>3</v>
      </c>
      <c r="I672" s="37" t="n">
        <f aca="false">IF(C672="","",C672-B672)</f>
        <v>2</v>
      </c>
      <c r="J672" s="38" t="str">
        <f aca="false">IF(I672="","",IF(I672&gt;H672,"Delayed","On Time"))</f>
        <v>On Time</v>
      </c>
      <c r="K672" s="37" t="str">
        <f aca="false">IF(J672="Delayed",I672-H672,"")</f>
        <v/>
      </c>
    </row>
    <row r="673" customFormat="false" ht="15" hidden="false" customHeight="false" outlineLevel="0" collapsed="false">
      <c r="A673" s="35" t="s">
        <v>737</v>
      </c>
      <c r="B673" s="36" t="n">
        <v>46282</v>
      </c>
      <c r="C673" s="36" t="n">
        <v>46285</v>
      </c>
      <c r="D673" s="35" t="s">
        <v>44</v>
      </c>
      <c r="E673" s="35" t="s">
        <v>34</v>
      </c>
      <c r="F673" s="35" t="s">
        <v>15</v>
      </c>
      <c r="G673" s="35"/>
      <c r="H673" s="37" t="n">
        <f aca="false">IFERROR(VLOOKUP(D673,Settings!$A$5:$C$14,3,FALSE()),"")</f>
        <v>3</v>
      </c>
      <c r="I673" s="37" t="n">
        <f aca="false">IF(C673="","",C673-B673)</f>
        <v>3</v>
      </c>
      <c r="J673" s="38" t="str">
        <f aca="false">IF(I673="","",IF(I673&gt;H673,"Delayed","On Time"))</f>
        <v>On Time</v>
      </c>
      <c r="K673" s="37" t="str">
        <f aca="false">IF(J673="Delayed",I673-H673,"")</f>
        <v/>
      </c>
    </row>
    <row r="674" customFormat="false" ht="15" hidden="false" customHeight="false" outlineLevel="0" collapsed="false">
      <c r="A674" s="35" t="s">
        <v>738</v>
      </c>
      <c r="B674" s="36" t="n">
        <v>46282</v>
      </c>
      <c r="C674" s="36"/>
      <c r="D674" s="35" t="s">
        <v>52</v>
      </c>
      <c r="E674" s="35" t="s">
        <v>33</v>
      </c>
      <c r="F674" s="35" t="s">
        <v>18</v>
      </c>
      <c r="G674" s="35" t="s">
        <v>47</v>
      </c>
      <c r="H674" s="37" t="n">
        <f aca="false">IFERROR(VLOOKUP(D674,Settings!$A$5:$C$14,3,FALSE()),"")</f>
        <v>4</v>
      </c>
      <c r="I674" s="37" t="str">
        <f aca="false">IF(C674="","",C674-B674)</f>
        <v/>
      </c>
      <c r="J674" s="38" t="str">
        <f aca="false">IF(I674="","",IF(I674&gt;H674,"Delayed","On Time"))</f>
        <v/>
      </c>
      <c r="K674" s="37" t="str">
        <f aca="false">IF(J674="Delayed",I674-H674,"")</f>
        <v/>
      </c>
    </row>
    <row r="675" customFormat="false" ht="15" hidden="false" customHeight="false" outlineLevel="0" collapsed="false">
      <c r="A675" s="35" t="s">
        <v>739</v>
      </c>
      <c r="B675" s="36" t="n">
        <v>46282</v>
      </c>
      <c r="C675" s="36" t="n">
        <v>46284</v>
      </c>
      <c r="D675" s="35" t="s">
        <v>46</v>
      </c>
      <c r="E675" s="35" t="s">
        <v>36</v>
      </c>
      <c r="F675" s="35" t="s">
        <v>15</v>
      </c>
      <c r="G675" s="35"/>
      <c r="H675" s="37" t="n">
        <f aca="false">IFERROR(VLOOKUP(D675,Settings!$A$5:$C$14,3,FALSE()),"")</f>
        <v>3</v>
      </c>
      <c r="I675" s="37" t="n">
        <f aca="false">IF(C675="","",C675-B675)</f>
        <v>2</v>
      </c>
      <c r="J675" s="38" t="str">
        <f aca="false">IF(I675="","",IF(I675&gt;H675,"Delayed","On Time"))</f>
        <v>On Time</v>
      </c>
      <c r="K675" s="37" t="str">
        <f aca="false">IF(J675="Delayed",I675-H675,"")</f>
        <v/>
      </c>
    </row>
    <row r="676" customFormat="false" ht="15" hidden="false" customHeight="false" outlineLevel="0" collapsed="false">
      <c r="A676" s="35" t="s">
        <v>740</v>
      </c>
      <c r="B676" s="36" t="n">
        <v>46282</v>
      </c>
      <c r="C676" s="36" t="n">
        <v>46284</v>
      </c>
      <c r="D676" s="35" t="s">
        <v>44</v>
      </c>
      <c r="E676" s="35" t="s">
        <v>35</v>
      </c>
      <c r="F676" s="35" t="s">
        <v>15</v>
      </c>
      <c r="G676" s="35"/>
      <c r="H676" s="37" t="n">
        <f aca="false">IFERROR(VLOOKUP(D676,Settings!$A$5:$C$14,3,FALSE()),"")</f>
        <v>3</v>
      </c>
      <c r="I676" s="37" t="n">
        <f aca="false">IF(C676="","",C676-B676)</f>
        <v>2</v>
      </c>
      <c r="J676" s="38" t="str">
        <f aca="false">IF(I676="","",IF(I676&gt;H676,"Delayed","On Time"))</f>
        <v>On Time</v>
      </c>
      <c r="K676" s="37" t="str">
        <f aca="false">IF(J676="Delayed",I676-H676,"")</f>
        <v/>
      </c>
    </row>
    <row r="677" customFormat="false" ht="15" hidden="false" customHeight="false" outlineLevel="0" collapsed="false">
      <c r="A677" s="35" t="s">
        <v>741</v>
      </c>
      <c r="B677" s="36" t="n">
        <v>46282</v>
      </c>
      <c r="C677" s="36" t="n">
        <v>46285</v>
      </c>
      <c r="D677" s="35" t="s">
        <v>46</v>
      </c>
      <c r="E677" s="35" t="s">
        <v>36</v>
      </c>
      <c r="F677" s="35" t="s">
        <v>15</v>
      </c>
      <c r="G677" s="35"/>
      <c r="H677" s="37" t="n">
        <f aca="false">IFERROR(VLOOKUP(D677,Settings!$A$5:$C$14,3,FALSE()),"")</f>
        <v>3</v>
      </c>
      <c r="I677" s="37" t="n">
        <f aca="false">IF(C677="","",C677-B677)</f>
        <v>3</v>
      </c>
      <c r="J677" s="38" t="str">
        <f aca="false">IF(I677="","",IF(I677&gt;H677,"Delayed","On Time"))</f>
        <v>On Time</v>
      </c>
      <c r="K677" s="37" t="str">
        <f aca="false">IF(J677="Delayed",I677-H677,"")</f>
        <v/>
      </c>
    </row>
    <row r="678" customFormat="false" ht="15" hidden="false" customHeight="false" outlineLevel="0" collapsed="false">
      <c r="A678" s="35" t="s">
        <v>742</v>
      </c>
      <c r="B678" s="36" t="n">
        <v>46282</v>
      </c>
      <c r="C678" s="36" t="n">
        <v>46286</v>
      </c>
      <c r="D678" s="35" t="s">
        <v>48</v>
      </c>
      <c r="E678" s="35" t="s">
        <v>33</v>
      </c>
      <c r="F678" s="35" t="s">
        <v>15</v>
      </c>
      <c r="G678" s="35"/>
      <c r="H678" s="37" t="n">
        <f aca="false">IFERROR(VLOOKUP(D678,Settings!$A$5:$C$14,3,FALSE()),"")</f>
        <v>3</v>
      </c>
      <c r="I678" s="37" t="n">
        <f aca="false">IF(C678="","",C678-B678)</f>
        <v>4</v>
      </c>
      <c r="J678" s="38" t="str">
        <f aca="false">IF(I678="","",IF(I678&gt;H678,"Delayed","On Time"))</f>
        <v>Delayed</v>
      </c>
      <c r="K678" s="37" t="n">
        <f aca="false">IF(J678="Delayed",I678-H678,"")</f>
        <v>1</v>
      </c>
    </row>
    <row r="679" customFormat="false" ht="15" hidden="false" customHeight="false" outlineLevel="0" collapsed="false">
      <c r="A679" s="35" t="s">
        <v>743</v>
      </c>
      <c r="B679" s="36" t="n">
        <v>46282</v>
      </c>
      <c r="C679" s="36" t="n">
        <v>46283</v>
      </c>
      <c r="D679" s="35" t="s">
        <v>46</v>
      </c>
      <c r="E679" s="35" t="s">
        <v>34</v>
      </c>
      <c r="F679" s="35" t="s">
        <v>15</v>
      </c>
      <c r="G679" s="35"/>
      <c r="H679" s="37" t="n">
        <f aca="false">IFERROR(VLOOKUP(D679,Settings!$A$5:$C$14,3,FALSE()),"")</f>
        <v>3</v>
      </c>
      <c r="I679" s="37" t="n">
        <f aca="false">IF(C679="","",C679-B679)</f>
        <v>1</v>
      </c>
      <c r="J679" s="38" t="str">
        <f aca="false">IF(I679="","",IF(I679&gt;H679,"Delayed","On Time"))</f>
        <v>On Time</v>
      </c>
      <c r="K679" s="37" t="str">
        <f aca="false">IF(J679="Delayed",I679-H679,"")</f>
        <v/>
      </c>
    </row>
    <row r="680" customFormat="false" ht="15" hidden="false" customHeight="false" outlineLevel="0" collapsed="false">
      <c r="A680" s="35" t="s">
        <v>744</v>
      </c>
      <c r="B680" s="36" t="n">
        <v>46283</v>
      </c>
      <c r="C680" s="36"/>
      <c r="D680" s="35" t="s">
        <v>44</v>
      </c>
      <c r="E680" s="35" t="s">
        <v>33</v>
      </c>
      <c r="F680" s="35" t="s">
        <v>18</v>
      </c>
      <c r="G680" s="35" t="s">
        <v>49</v>
      </c>
      <c r="H680" s="37" t="n">
        <f aca="false">IFERROR(VLOOKUP(D680,Settings!$A$5:$C$14,3,FALSE()),"")</f>
        <v>3</v>
      </c>
      <c r="I680" s="37" t="str">
        <f aca="false">IF(C680="","",C680-B680)</f>
        <v/>
      </c>
      <c r="J680" s="38" t="str">
        <f aca="false">IF(I680="","",IF(I680&gt;H680,"Delayed","On Time"))</f>
        <v/>
      </c>
      <c r="K680" s="37" t="str">
        <f aca="false">IF(J680="Delayed",I680-H680,"")</f>
        <v/>
      </c>
    </row>
    <row r="681" customFormat="false" ht="15" hidden="false" customHeight="false" outlineLevel="0" collapsed="false">
      <c r="A681" s="35" t="s">
        <v>745</v>
      </c>
      <c r="B681" s="36" t="n">
        <v>46283</v>
      </c>
      <c r="C681" s="36" t="n">
        <v>46286</v>
      </c>
      <c r="D681" s="35" t="s">
        <v>46</v>
      </c>
      <c r="E681" s="35" t="s">
        <v>33</v>
      </c>
      <c r="F681" s="35" t="s">
        <v>15</v>
      </c>
      <c r="G681" s="35"/>
      <c r="H681" s="37" t="n">
        <f aca="false">IFERROR(VLOOKUP(D681,Settings!$A$5:$C$14,3,FALSE()),"")</f>
        <v>3</v>
      </c>
      <c r="I681" s="37" t="n">
        <f aca="false">IF(C681="","",C681-B681)</f>
        <v>3</v>
      </c>
      <c r="J681" s="38" t="str">
        <f aca="false">IF(I681="","",IF(I681&gt;H681,"Delayed","On Time"))</f>
        <v>On Time</v>
      </c>
      <c r="K681" s="37" t="str">
        <f aca="false">IF(J681="Delayed",I681-H681,"")</f>
        <v/>
      </c>
    </row>
    <row r="682" customFormat="false" ht="15" hidden="false" customHeight="false" outlineLevel="0" collapsed="false">
      <c r="A682" s="35" t="s">
        <v>746</v>
      </c>
      <c r="B682" s="36" t="n">
        <v>46283</v>
      </c>
      <c r="C682" s="36" t="n">
        <v>46286</v>
      </c>
      <c r="D682" s="35" t="s">
        <v>46</v>
      </c>
      <c r="E682" s="35" t="s">
        <v>34</v>
      </c>
      <c r="F682" s="35" t="s">
        <v>15</v>
      </c>
      <c r="G682" s="35"/>
      <c r="H682" s="37" t="n">
        <f aca="false">IFERROR(VLOOKUP(D682,Settings!$A$5:$C$14,3,FALSE()),"")</f>
        <v>3</v>
      </c>
      <c r="I682" s="37" t="n">
        <f aca="false">IF(C682="","",C682-B682)</f>
        <v>3</v>
      </c>
      <c r="J682" s="38" t="str">
        <f aca="false">IF(I682="","",IF(I682&gt;H682,"Delayed","On Time"))</f>
        <v>On Time</v>
      </c>
      <c r="K682" s="37" t="str">
        <f aca="false">IF(J682="Delayed",I682-H682,"")</f>
        <v/>
      </c>
    </row>
    <row r="683" customFormat="false" ht="15" hidden="false" customHeight="false" outlineLevel="0" collapsed="false">
      <c r="A683" s="35" t="s">
        <v>747</v>
      </c>
      <c r="B683" s="36" t="n">
        <v>46283</v>
      </c>
      <c r="C683" s="36" t="n">
        <v>46288</v>
      </c>
      <c r="D683" s="35" t="s">
        <v>50</v>
      </c>
      <c r="E683" s="35" t="s">
        <v>35</v>
      </c>
      <c r="F683" s="35" t="s">
        <v>15</v>
      </c>
      <c r="G683" s="35"/>
      <c r="H683" s="37" t="n">
        <f aca="false">IFERROR(VLOOKUP(D683,Settings!$A$5:$C$14,3,FALSE()),"")</f>
        <v>3</v>
      </c>
      <c r="I683" s="37" t="n">
        <f aca="false">IF(C683="","",C683-B683)</f>
        <v>5</v>
      </c>
      <c r="J683" s="38" t="str">
        <f aca="false">IF(I683="","",IF(I683&gt;H683,"Delayed","On Time"))</f>
        <v>Delayed</v>
      </c>
      <c r="K683" s="37" t="n">
        <f aca="false">IF(J683="Delayed",I683-H683,"")</f>
        <v>2</v>
      </c>
    </row>
    <row r="684" customFormat="false" ht="15" hidden="false" customHeight="false" outlineLevel="0" collapsed="false">
      <c r="A684" s="35" t="s">
        <v>748</v>
      </c>
      <c r="B684" s="36" t="n">
        <v>46283</v>
      </c>
      <c r="C684" s="36" t="n">
        <v>46285</v>
      </c>
      <c r="D684" s="35" t="s">
        <v>50</v>
      </c>
      <c r="E684" s="35" t="s">
        <v>36</v>
      </c>
      <c r="F684" s="35" t="s">
        <v>15</v>
      </c>
      <c r="G684" s="35"/>
      <c r="H684" s="37" t="n">
        <f aca="false">IFERROR(VLOOKUP(D684,Settings!$A$5:$C$14,3,FALSE()),"")</f>
        <v>3</v>
      </c>
      <c r="I684" s="37" t="n">
        <f aca="false">IF(C684="","",C684-B684)</f>
        <v>2</v>
      </c>
      <c r="J684" s="38" t="str">
        <f aca="false">IF(I684="","",IF(I684&gt;H684,"Delayed","On Time"))</f>
        <v>On Time</v>
      </c>
      <c r="K684" s="37" t="str">
        <f aca="false">IF(J684="Delayed",I684-H684,"")</f>
        <v/>
      </c>
    </row>
    <row r="685" customFormat="false" ht="15" hidden="false" customHeight="false" outlineLevel="0" collapsed="false">
      <c r="A685" s="35" t="s">
        <v>749</v>
      </c>
      <c r="B685" s="36" t="n">
        <v>46283</v>
      </c>
      <c r="C685" s="36" t="n">
        <v>46285</v>
      </c>
      <c r="D685" s="35" t="s">
        <v>46</v>
      </c>
      <c r="E685" s="35" t="s">
        <v>36</v>
      </c>
      <c r="F685" s="35" t="s">
        <v>15</v>
      </c>
      <c r="G685" s="35"/>
      <c r="H685" s="37" t="n">
        <f aca="false">IFERROR(VLOOKUP(D685,Settings!$A$5:$C$14,3,FALSE()),"")</f>
        <v>3</v>
      </c>
      <c r="I685" s="37" t="n">
        <f aca="false">IF(C685="","",C685-B685)</f>
        <v>2</v>
      </c>
      <c r="J685" s="38" t="str">
        <f aca="false">IF(I685="","",IF(I685&gt;H685,"Delayed","On Time"))</f>
        <v>On Time</v>
      </c>
      <c r="K685" s="37" t="str">
        <f aca="false">IF(J685="Delayed",I685-H685,"")</f>
        <v/>
      </c>
    </row>
    <row r="686" customFormat="false" ht="15" hidden="false" customHeight="false" outlineLevel="0" collapsed="false">
      <c r="A686" s="35" t="s">
        <v>750</v>
      </c>
      <c r="B686" s="36" t="n">
        <v>46284</v>
      </c>
      <c r="C686" s="36" t="n">
        <v>46287</v>
      </c>
      <c r="D686" s="35" t="s">
        <v>46</v>
      </c>
      <c r="E686" s="35" t="s">
        <v>34</v>
      </c>
      <c r="F686" s="35" t="s">
        <v>15</v>
      </c>
      <c r="G686" s="35"/>
      <c r="H686" s="37" t="n">
        <f aca="false">IFERROR(VLOOKUP(D686,Settings!$A$5:$C$14,3,FALSE()),"")</f>
        <v>3</v>
      </c>
      <c r="I686" s="37" t="n">
        <f aca="false">IF(C686="","",C686-B686)</f>
        <v>3</v>
      </c>
      <c r="J686" s="38" t="str">
        <f aca="false">IF(I686="","",IF(I686&gt;H686,"Delayed","On Time"))</f>
        <v>On Time</v>
      </c>
      <c r="K686" s="37" t="str">
        <f aca="false">IF(J686="Delayed",I686-H686,"")</f>
        <v/>
      </c>
    </row>
    <row r="687" customFormat="false" ht="15" hidden="false" customHeight="false" outlineLevel="0" collapsed="false">
      <c r="A687" s="35" t="s">
        <v>751</v>
      </c>
      <c r="B687" s="36" t="n">
        <v>46284</v>
      </c>
      <c r="C687" s="36" t="n">
        <v>46289</v>
      </c>
      <c r="D687" s="35" t="s">
        <v>52</v>
      </c>
      <c r="E687" s="35" t="s">
        <v>36</v>
      </c>
      <c r="F687" s="35" t="s">
        <v>15</v>
      </c>
      <c r="G687" s="35"/>
      <c r="H687" s="37" t="n">
        <f aca="false">IFERROR(VLOOKUP(D687,Settings!$A$5:$C$14,3,FALSE()),"")</f>
        <v>4</v>
      </c>
      <c r="I687" s="37" t="n">
        <f aca="false">IF(C687="","",C687-B687)</f>
        <v>5</v>
      </c>
      <c r="J687" s="38" t="str">
        <f aca="false">IF(I687="","",IF(I687&gt;H687,"Delayed","On Time"))</f>
        <v>Delayed</v>
      </c>
      <c r="K687" s="37" t="n">
        <f aca="false">IF(J687="Delayed",I687-H687,"")</f>
        <v>1</v>
      </c>
    </row>
    <row r="688" customFormat="false" ht="15" hidden="false" customHeight="false" outlineLevel="0" collapsed="false">
      <c r="A688" s="35" t="s">
        <v>752</v>
      </c>
      <c r="B688" s="36" t="n">
        <v>46284</v>
      </c>
      <c r="C688" s="36" t="n">
        <v>46289</v>
      </c>
      <c r="D688" s="35" t="s">
        <v>48</v>
      </c>
      <c r="E688" s="35" t="s">
        <v>35</v>
      </c>
      <c r="F688" s="35" t="s">
        <v>15</v>
      </c>
      <c r="G688" s="35"/>
      <c r="H688" s="37" t="n">
        <f aca="false">IFERROR(VLOOKUP(D688,Settings!$A$5:$C$14,3,FALSE()),"")</f>
        <v>3</v>
      </c>
      <c r="I688" s="37" t="n">
        <f aca="false">IF(C688="","",C688-B688)</f>
        <v>5</v>
      </c>
      <c r="J688" s="38" t="str">
        <f aca="false">IF(I688="","",IF(I688&gt;H688,"Delayed","On Time"))</f>
        <v>Delayed</v>
      </c>
      <c r="K688" s="37" t="n">
        <f aca="false">IF(J688="Delayed",I688-H688,"")</f>
        <v>2</v>
      </c>
    </row>
    <row r="689" customFormat="false" ht="15" hidden="false" customHeight="false" outlineLevel="0" collapsed="false">
      <c r="A689" s="35" t="s">
        <v>753</v>
      </c>
      <c r="B689" s="36" t="n">
        <v>46284</v>
      </c>
      <c r="C689" s="36" t="n">
        <v>46289</v>
      </c>
      <c r="D689" s="35" t="s">
        <v>55</v>
      </c>
      <c r="E689" s="35" t="s">
        <v>36</v>
      </c>
      <c r="F689" s="35" t="s">
        <v>15</v>
      </c>
      <c r="G689" s="35"/>
      <c r="H689" s="37" t="n">
        <f aca="false">IFERROR(VLOOKUP(D689,Settings!$A$5:$C$14,3,FALSE()),"")</f>
        <v>5</v>
      </c>
      <c r="I689" s="37" t="n">
        <f aca="false">IF(C689="","",C689-B689)</f>
        <v>5</v>
      </c>
      <c r="J689" s="38" t="str">
        <f aca="false">IF(I689="","",IF(I689&gt;H689,"Delayed","On Time"))</f>
        <v>On Time</v>
      </c>
      <c r="K689" s="37" t="str">
        <f aca="false">IF(J689="Delayed",I689-H689,"")</f>
        <v/>
      </c>
    </row>
    <row r="690" customFormat="false" ht="15" hidden="false" customHeight="false" outlineLevel="0" collapsed="false">
      <c r="A690" s="35" t="s">
        <v>754</v>
      </c>
      <c r="B690" s="36" t="n">
        <v>46284</v>
      </c>
      <c r="C690" s="36"/>
      <c r="D690" s="35" t="s">
        <v>48</v>
      </c>
      <c r="E690" s="35" t="s">
        <v>36</v>
      </c>
      <c r="F690" s="35" t="s">
        <v>18</v>
      </c>
      <c r="G690" s="35" t="s">
        <v>47</v>
      </c>
      <c r="H690" s="37" t="n">
        <f aca="false">IFERROR(VLOOKUP(D690,Settings!$A$5:$C$14,3,FALSE()),"")</f>
        <v>3</v>
      </c>
      <c r="I690" s="37" t="str">
        <f aca="false">IF(C690="","",C690-B690)</f>
        <v/>
      </c>
      <c r="J690" s="38" t="str">
        <f aca="false">IF(I690="","",IF(I690&gt;H690,"Delayed","On Time"))</f>
        <v/>
      </c>
      <c r="K690" s="37" t="str">
        <f aca="false">IF(J690="Delayed",I690-H690,"")</f>
        <v/>
      </c>
    </row>
    <row r="691" customFormat="false" ht="15" hidden="false" customHeight="false" outlineLevel="0" collapsed="false">
      <c r="A691" s="35" t="s">
        <v>755</v>
      </c>
      <c r="B691" s="36" t="n">
        <v>46284</v>
      </c>
      <c r="C691" s="36" t="n">
        <v>46285</v>
      </c>
      <c r="D691" s="35" t="s">
        <v>48</v>
      </c>
      <c r="E691" s="35" t="s">
        <v>33</v>
      </c>
      <c r="F691" s="35" t="s">
        <v>15</v>
      </c>
      <c r="G691" s="35"/>
      <c r="H691" s="37" t="n">
        <f aca="false">IFERROR(VLOOKUP(D691,Settings!$A$5:$C$14,3,FALSE()),"")</f>
        <v>3</v>
      </c>
      <c r="I691" s="37" t="n">
        <f aca="false">IF(C691="","",C691-B691)</f>
        <v>1</v>
      </c>
      <c r="J691" s="38" t="str">
        <f aca="false">IF(I691="","",IF(I691&gt;H691,"Delayed","On Time"))</f>
        <v>On Time</v>
      </c>
      <c r="K691" s="37" t="str">
        <f aca="false">IF(J691="Delayed",I691-H691,"")</f>
        <v/>
      </c>
    </row>
    <row r="692" customFormat="false" ht="15" hidden="false" customHeight="false" outlineLevel="0" collapsed="false">
      <c r="A692" s="35" t="s">
        <v>756</v>
      </c>
      <c r="B692" s="36" t="n">
        <v>46284</v>
      </c>
      <c r="C692" s="36" t="n">
        <v>46287</v>
      </c>
      <c r="D692" s="35" t="s">
        <v>48</v>
      </c>
      <c r="E692" s="35" t="s">
        <v>35</v>
      </c>
      <c r="F692" s="35" t="s">
        <v>15</v>
      </c>
      <c r="G692" s="35"/>
      <c r="H692" s="37" t="n">
        <f aca="false">IFERROR(VLOOKUP(D692,Settings!$A$5:$C$14,3,FALSE()),"")</f>
        <v>3</v>
      </c>
      <c r="I692" s="37" t="n">
        <f aca="false">IF(C692="","",C692-B692)</f>
        <v>3</v>
      </c>
      <c r="J692" s="38" t="str">
        <f aca="false">IF(I692="","",IF(I692&gt;H692,"Delayed","On Time"))</f>
        <v>On Time</v>
      </c>
      <c r="K692" s="37" t="str">
        <f aca="false">IF(J692="Delayed",I692-H692,"")</f>
        <v/>
      </c>
    </row>
    <row r="693" customFormat="false" ht="15" hidden="false" customHeight="false" outlineLevel="0" collapsed="false">
      <c r="A693" s="35" t="s">
        <v>757</v>
      </c>
      <c r="B693" s="36" t="n">
        <v>46285</v>
      </c>
      <c r="C693" s="36" t="n">
        <v>46289</v>
      </c>
      <c r="D693" s="35" t="s">
        <v>44</v>
      </c>
      <c r="E693" s="35" t="s">
        <v>35</v>
      </c>
      <c r="F693" s="35" t="s">
        <v>15</v>
      </c>
      <c r="G693" s="35"/>
      <c r="H693" s="37" t="n">
        <f aca="false">IFERROR(VLOOKUP(D693,Settings!$A$5:$C$14,3,FALSE()),"")</f>
        <v>3</v>
      </c>
      <c r="I693" s="37" t="n">
        <f aca="false">IF(C693="","",C693-B693)</f>
        <v>4</v>
      </c>
      <c r="J693" s="38" t="str">
        <f aca="false">IF(I693="","",IF(I693&gt;H693,"Delayed","On Time"))</f>
        <v>Delayed</v>
      </c>
      <c r="K693" s="37" t="n">
        <f aca="false">IF(J693="Delayed",I693-H693,"")</f>
        <v>1</v>
      </c>
    </row>
    <row r="694" customFormat="false" ht="15" hidden="false" customHeight="false" outlineLevel="0" collapsed="false">
      <c r="A694" s="35" t="s">
        <v>758</v>
      </c>
      <c r="B694" s="36" t="n">
        <v>46285</v>
      </c>
      <c r="C694" s="36" t="n">
        <v>46289</v>
      </c>
      <c r="D694" s="35" t="s">
        <v>52</v>
      </c>
      <c r="E694" s="35" t="s">
        <v>36</v>
      </c>
      <c r="F694" s="35" t="s">
        <v>15</v>
      </c>
      <c r="G694" s="35"/>
      <c r="H694" s="37" t="n">
        <f aca="false">IFERROR(VLOOKUP(D694,Settings!$A$5:$C$14,3,FALSE()),"")</f>
        <v>4</v>
      </c>
      <c r="I694" s="37" t="n">
        <f aca="false">IF(C694="","",C694-B694)</f>
        <v>4</v>
      </c>
      <c r="J694" s="38" t="str">
        <f aca="false">IF(I694="","",IF(I694&gt;H694,"Delayed","On Time"))</f>
        <v>On Time</v>
      </c>
      <c r="K694" s="37" t="str">
        <f aca="false">IF(J694="Delayed",I694-H694,"")</f>
        <v/>
      </c>
    </row>
    <row r="695" customFormat="false" ht="15" hidden="false" customHeight="false" outlineLevel="0" collapsed="false">
      <c r="A695" s="35" t="s">
        <v>759</v>
      </c>
      <c r="B695" s="36" t="n">
        <v>46285</v>
      </c>
      <c r="C695" s="36" t="n">
        <v>46286</v>
      </c>
      <c r="D695" s="35" t="s">
        <v>44</v>
      </c>
      <c r="E695" s="35" t="s">
        <v>33</v>
      </c>
      <c r="F695" s="35" t="s">
        <v>15</v>
      </c>
      <c r="G695" s="35"/>
      <c r="H695" s="37" t="n">
        <f aca="false">IFERROR(VLOOKUP(D695,Settings!$A$5:$C$14,3,FALSE()),"")</f>
        <v>3</v>
      </c>
      <c r="I695" s="37" t="n">
        <f aca="false">IF(C695="","",C695-B695)</f>
        <v>1</v>
      </c>
      <c r="J695" s="38" t="str">
        <f aca="false">IF(I695="","",IF(I695&gt;H695,"Delayed","On Time"))</f>
        <v>On Time</v>
      </c>
      <c r="K695" s="37" t="str">
        <f aca="false">IF(J695="Delayed",I695-H695,"")</f>
        <v/>
      </c>
    </row>
    <row r="696" customFormat="false" ht="15" hidden="false" customHeight="false" outlineLevel="0" collapsed="false">
      <c r="A696" s="35" t="s">
        <v>760</v>
      </c>
      <c r="B696" s="36" t="n">
        <v>46285</v>
      </c>
      <c r="C696" s="36" t="n">
        <v>46286</v>
      </c>
      <c r="D696" s="35" t="s">
        <v>46</v>
      </c>
      <c r="E696" s="35" t="s">
        <v>33</v>
      </c>
      <c r="F696" s="35" t="s">
        <v>15</v>
      </c>
      <c r="G696" s="35"/>
      <c r="H696" s="37" t="n">
        <f aca="false">IFERROR(VLOOKUP(D696,Settings!$A$5:$C$14,3,FALSE()),"")</f>
        <v>3</v>
      </c>
      <c r="I696" s="37" t="n">
        <f aca="false">IF(C696="","",C696-B696)</f>
        <v>1</v>
      </c>
      <c r="J696" s="38" t="str">
        <f aca="false">IF(I696="","",IF(I696&gt;H696,"Delayed","On Time"))</f>
        <v>On Time</v>
      </c>
      <c r="K696" s="37" t="str">
        <f aca="false">IF(J696="Delayed",I696-H696,"")</f>
        <v/>
      </c>
    </row>
    <row r="697" customFormat="false" ht="15" hidden="false" customHeight="false" outlineLevel="0" collapsed="false">
      <c r="A697" s="35" t="s">
        <v>761</v>
      </c>
      <c r="B697" s="36" t="n">
        <v>46285</v>
      </c>
      <c r="C697" s="36" t="n">
        <v>46292</v>
      </c>
      <c r="D697" s="35" t="s">
        <v>52</v>
      </c>
      <c r="E697" s="35" t="s">
        <v>36</v>
      </c>
      <c r="F697" s="35" t="s">
        <v>15</v>
      </c>
      <c r="G697" s="35"/>
      <c r="H697" s="37" t="n">
        <f aca="false">IFERROR(VLOOKUP(D697,Settings!$A$5:$C$14,3,FALSE()),"")</f>
        <v>4</v>
      </c>
      <c r="I697" s="37" t="n">
        <f aca="false">IF(C697="","",C697-B697)</f>
        <v>7</v>
      </c>
      <c r="J697" s="38" t="str">
        <f aca="false">IF(I697="","",IF(I697&gt;H697,"Delayed","On Time"))</f>
        <v>Delayed</v>
      </c>
      <c r="K697" s="37" t="n">
        <f aca="false">IF(J697="Delayed",I697-H697,"")</f>
        <v>3</v>
      </c>
    </row>
    <row r="698" customFormat="false" ht="15" hidden="false" customHeight="false" outlineLevel="0" collapsed="false">
      <c r="A698" s="35" t="s">
        <v>762</v>
      </c>
      <c r="B698" s="36" t="n">
        <v>46285</v>
      </c>
      <c r="C698" s="36" t="n">
        <v>46288</v>
      </c>
      <c r="D698" s="35" t="s">
        <v>44</v>
      </c>
      <c r="E698" s="35" t="s">
        <v>34</v>
      </c>
      <c r="F698" s="35" t="s">
        <v>15</v>
      </c>
      <c r="G698" s="35"/>
      <c r="H698" s="37" t="n">
        <f aca="false">IFERROR(VLOOKUP(D698,Settings!$A$5:$C$14,3,FALSE()),"")</f>
        <v>3</v>
      </c>
      <c r="I698" s="37" t="n">
        <f aca="false">IF(C698="","",C698-B698)</f>
        <v>3</v>
      </c>
      <c r="J698" s="38" t="str">
        <f aca="false">IF(I698="","",IF(I698&gt;H698,"Delayed","On Time"))</f>
        <v>On Time</v>
      </c>
      <c r="K698" s="37" t="str">
        <f aca="false">IF(J698="Delayed",I698-H698,"")</f>
        <v/>
      </c>
    </row>
    <row r="699" customFormat="false" ht="15" hidden="false" customHeight="false" outlineLevel="0" collapsed="false">
      <c r="A699" s="35" t="s">
        <v>763</v>
      </c>
      <c r="B699" s="36" t="n">
        <v>46285</v>
      </c>
      <c r="C699" s="36" t="n">
        <v>46288</v>
      </c>
      <c r="D699" s="35" t="s">
        <v>48</v>
      </c>
      <c r="E699" s="35" t="s">
        <v>33</v>
      </c>
      <c r="F699" s="35" t="s">
        <v>15</v>
      </c>
      <c r="G699" s="35"/>
      <c r="H699" s="37" t="n">
        <f aca="false">IFERROR(VLOOKUP(D699,Settings!$A$5:$C$14,3,FALSE()),"")</f>
        <v>3</v>
      </c>
      <c r="I699" s="37" t="n">
        <f aca="false">IF(C699="","",C699-B699)</f>
        <v>3</v>
      </c>
      <c r="J699" s="38" t="str">
        <f aca="false">IF(I699="","",IF(I699&gt;H699,"Delayed","On Time"))</f>
        <v>On Time</v>
      </c>
      <c r="K699" s="37" t="str">
        <f aca="false">IF(J699="Delayed",I699-H699,"")</f>
        <v/>
      </c>
    </row>
    <row r="700" customFormat="false" ht="15" hidden="false" customHeight="false" outlineLevel="0" collapsed="false">
      <c r="A700" s="35" t="s">
        <v>764</v>
      </c>
      <c r="B700" s="36" t="n">
        <v>46285</v>
      </c>
      <c r="C700" s="36" t="n">
        <v>46289</v>
      </c>
      <c r="D700" s="35" t="s">
        <v>44</v>
      </c>
      <c r="E700" s="35" t="s">
        <v>35</v>
      </c>
      <c r="F700" s="35" t="s">
        <v>15</v>
      </c>
      <c r="G700" s="35"/>
      <c r="H700" s="37" t="n">
        <f aca="false">IFERROR(VLOOKUP(D700,Settings!$A$5:$C$14,3,FALSE()),"")</f>
        <v>3</v>
      </c>
      <c r="I700" s="37" t="n">
        <f aca="false">IF(C700="","",C700-B700)</f>
        <v>4</v>
      </c>
      <c r="J700" s="38" t="str">
        <f aca="false">IF(I700="","",IF(I700&gt;H700,"Delayed","On Time"))</f>
        <v>Delayed</v>
      </c>
      <c r="K700" s="37" t="n">
        <f aca="false">IF(J700="Delayed",I700-H700,"")</f>
        <v>1</v>
      </c>
    </row>
    <row r="701" customFormat="false" ht="15" hidden="false" customHeight="false" outlineLevel="0" collapsed="false">
      <c r="A701" s="35" t="s">
        <v>765</v>
      </c>
      <c r="B701" s="36" t="n">
        <v>46285</v>
      </c>
      <c r="C701" s="36" t="n">
        <v>46289</v>
      </c>
      <c r="D701" s="35" t="s">
        <v>44</v>
      </c>
      <c r="E701" s="35" t="s">
        <v>33</v>
      </c>
      <c r="F701" s="35" t="s">
        <v>15</v>
      </c>
      <c r="G701" s="35"/>
      <c r="H701" s="37" t="n">
        <f aca="false">IFERROR(VLOOKUP(D701,Settings!$A$5:$C$14,3,FALSE()),"")</f>
        <v>3</v>
      </c>
      <c r="I701" s="37" t="n">
        <f aca="false">IF(C701="","",C701-B701)</f>
        <v>4</v>
      </c>
      <c r="J701" s="38" t="str">
        <f aca="false">IF(I701="","",IF(I701&gt;H701,"Delayed","On Time"))</f>
        <v>Delayed</v>
      </c>
      <c r="K701" s="37" t="n">
        <f aca="false">IF(J701="Delayed",I701-H701,"")</f>
        <v>1</v>
      </c>
    </row>
    <row r="702" customFormat="false" ht="15" hidden="false" customHeight="false" outlineLevel="0" collapsed="false">
      <c r="A702" s="35" t="s">
        <v>766</v>
      </c>
      <c r="B702" s="36" t="n">
        <v>46286</v>
      </c>
      <c r="C702" s="36" t="n">
        <v>46291</v>
      </c>
      <c r="D702" s="35" t="s">
        <v>54</v>
      </c>
      <c r="E702" s="35" t="s">
        <v>35</v>
      </c>
      <c r="F702" s="35" t="s">
        <v>17</v>
      </c>
      <c r="G702" s="35" t="s">
        <v>49</v>
      </c>
      <c r="H702" s="37" t="n">
        <f aca="false">IFERROR(VLOOKUP(D702,Settings!$A$5:$C$14,3,FALSE()),"")</f>
        <v>5</v>
      </c>
      <c r="I702" s="37" t="n">
        <f aca="false">IF(C702="","",C702-B702)</f>
        <v>5</v>
      </c>
      <c r="J702" s="38" t="str">
        <f aca="false">IF(I702="","",IF(I702&gt;H702,"Delayed","On Time"))</f>
        <v>On Time</v>
      </c>
      <c r="K702" s="37" t="str">
        <f aca="false">IF(J702="Delayed",I702-H702,"")</f>
        <v/>
      </c>
    </row>
    <row r="703" customFormat="false" ht="15" hidden="false" customHeight="false" outlineLevel="0" collapsed="false">
      <c r="A703" s="35" t="s">
        <v>767</v>
      </c>
      <c r="B703" s="36" t="n">
        <v>46286</v>
      </c>
      <c r="C703" s="36" t="n">
        <v>46292</v>
      </c>
      <c r="D703" s="35" t="s">
        <v>53</v>
      </c>
      <c r="E703" s="35" t="s">
        <v>36</v>
      </c>
      <c r="F703" s="35" t="s">
        <v>15</v>
      </c>
      <c r="G703" s="35"/>
      <c r="H703" s="37" t="n">
        <f aca="false">IFERROR(VLOOKUP(D703,Settings!$A$5:$C$14,3,FALSE()),"")</f>
        <v>5</v>
      </c>
      <c r="I703" s="37" t="n">
        <f aca="false">IF(C703="","",C703-B703)</f>
        <v>6</v>
      </c>
      <c r="J703" s="38" t="str">
        <f aca="false">IF(I703="","",IF(I703&gt;H703,"Delayed","On Time"))</f>
        <v>Delayed</v>
      </c>
      <c r="K703" s="37" t="n">
        <f aca="false">IF(J703="Delayed",I703-H703,"")</f>
        <v>1</v>
      </c>
    </row>
    <row r="704" customFormat="false" ht="15" hidden="false" customHeight="false" outlineLevel="0" collapsed="false">
      <c r="A704" s="35" t="s">
        <v>768</v>
      </c>
      <c r="B704" s="36" t="n">
        <v>46286</v>
      </c>
      <c r="C704" s="36" t="n">
        <v>46291</v>
      </c>
      <c r="D704" s="35" t="s">
        <v>53</v>
      </c>
      <c r="E704" s="35" t="s">
        <v>36</v>
      </c>
      <c r="F704" s="35" t="s">
        <v>15</v>
      </c>
      <c r="G704" s="35"/>
      <c r="H704" s="37" t="n">
        <f aca="false">IFERROR(VLOOKUP(D704,Settings!$A$5:$C$14,3,FALSE()),"")</f>
        <v>5</v>
      </c>
      <c r="I704" s="37" t="n">
        <f aca="false">IF(C704="","",C704-B704)</f>
        <v>5</v>
      </c>
      <c r="J704" s="38" t="str">
        <f aca="false">IF(I704="","",IF(I704&gt;H704,"Delayed","On Time"))</f>
        <v>On Time</v>
      </c>
      <c r="K704" s="37" t="str">
        <f aca="false">IF(J704="Delayed",I704-H704,"")</f>
        <v/>
      </c>
    </row>
    <row r="705" customFormat="false" ht="15" hidden="false" customHeight="false" outlineLevel="0" collapsed="false">
      <c r="A705" s="35" t="s">
        <v>769</v>
      </c>
      <c r="B705" s="36" t="n">
        <v>46286</v>
      </c>
      <c r="C705" s="36" t="n">
        <v>46288</v>
      </c>
      <c r="D705" s="35" t="s">
        <v>50</v>
      </c>
      <c r="E705" s="35" t="s">
        <v>33</v>
      </c>
      <c r="F705" s="35" t="s">
        <v>15</v>
      </c>
      <c r="G705" s="35"/>
      <c r="H705" s="37" t="n">
        <f aca="false">IFERROR(VLOOKUP(D705,Settings!$A$5:$C$14,3,FALSE()),"")</f>
        <v>3</v>
      </c>
      <c r="I705" s="37" t="n">
        <f aca="false">IF(C705="","",C705-B705)</f>
        <v>2</v>
      </c>
      <c r="J705" s="38" t="str">
        <f aca="false">IF(I705="","",IF(I705&gt;H705,"Delayed","On Time"))</f>
        <v>On Time</v>
      </c>
      <c r="K705" s="37" t="str">
        <f aca="false">IF(J705="Delayed",I705-H705,"")</f>
        <v/>
      </c>
    </row>
    <row r="706" customFormat="false" ht="15" hidden="false" customHeight="false" outlineLevel="0" collapsed="false">
      <c r="A706" s="35" t="s">
        <v>770</v>
      </c>
      <c r="B706" s="36" t="n">
        <v>46286</v>
      </c>
      <c r="C706" s="36" t="n">
        <v>46288</v>
      </c>
      <c r="D706" s="35" t="s">
        <v>44</v>
      </c>
      <c r="E706" s="35" t="s">
        <v>35</v>
      </c>
      <c r="F706" s="35" t="s">
        <v>15</v>
      </c>
      <c r="G706" s="35"/>
      <c r="H706" s="37" t="n">
        <f aca="false">IFERROR(VLOOKUP(D706,Settings!$A$5:$C$14,3,FALSE()),"")</f>
        <v>3</v>
      </c>
      <c r="I706" s="37" t="n">
        <f aca="false">IF(C706="","",C706-B706)</f>
        <v>2</v>
      </c>
      <c r="J706" s="38" t="str">
        <f aca="false">IF(I706="","",IF(I706&gt;H706,"Delayed","On Time"))</f>
        <v>On Time</v>
      </c>
      <c r="K706" s="37" t="str">
        <f aca="false">IF(J706="Delayed",I706-H706,"")</f>
        <v/>
      </c>
    </row>
    <row r="707" customFormat="false" ht="15" hidden="false" customHeight="false" outlineLevel="0" collapsed="false">
      <c r="A707" s="35" t="s">
        <v>771</v>
      </c>
      <c r="B707" s="36" t="n">
        <v>46286</v>
      </c>
      <c r="C707" s="36" t="n">
        <v>46290</v>
      </c>
      <c r="D707" s="35" t="s">
        <v>48</v>
      </c>
      <c r="E707" s="35" t="s">
        <v>34</v>
      </c>
      <c r="F707" s="35" t="s">
        <v>15</v>
      </c>
      <c r="G707" s="35"/>
      <c r="H707" s="37" t="n">
        <f aca="false">IFERROR(VLOOKUP(D707,Settings!$A$5:$C$14,3,FALSE()),"")</f>
        <v>3</v>
      </c>
      <c r="I707" s="37" t="n">
        <f aca="false">IF(C707="","",C707-B707)</f>
        <v>4</v>
      </c>
      <c r="J707" s="38" t="str">
        <f aca="false">IF(I707="","",IF(I707&gt;H707,"Delayed","On Time"))</f>
        <v>Delayed</v>
      </c>
      <c r="K707" s="37" t="n">
        <f aca="false">IF(J707="Delayed",I707-H707,"")</f>
        <v>1</v>
      </c>
    </row>
    <row r="708" customFormat="false" ht="15" hidden="false" customHeight="false" outlineLevel="0" collapsed="false">
      <c r="A708" s="35" t="s">
        <v>772</v>
      </c>
      <c r="B708" s="36" t="n">
        <v>46286</v>
      </c>
      <c r="C708" s="36" t="n">
        <v>46288</v>
      </c>
      <c r="D708" s="35" t="s">
        <v>44</v>
      </c>
      <c r="E708" s="35" t="s">
        <v>36</v>
      </c>
      <c r="F708" s="35" t="s">
        <v>15</v>
      </c>
      <c r="G708" s="35"/>
      <c r="H708" s="37" t="n">
        <f aca="false">IFERROR(VLOOKUP(D708,Settings!$A$5:$C$14,3,FALSE()),"")</f>
        <v>3</v>
      </c>
      <c r="I708" s="37" t="n">
        <f aca="false">IF(C708="","",C708-B708)</f>
        <v>2</v>
      </c>
      <c r="J708" s="38" t="str">
        <f aca="false">IF(I708="","",IF(I708&gt;H708,"Delayed","On Time"))</f>
        <v>On Time</v>
      </c>
      <c r="K708" s="37" t="str">
        <f aca="false">IF(J708="Delayed",I708-H708,"")</f>
        <v/>
      </c>
    </row>
    <row r="709" customFormat="false" ht="15" hidden="false" customHeight="false" outlineLevel="0" collapsed="false">
      <c r="A709" s="35" t="s">
        <v>773</v>
      </c>
      <c r="B709" s="36" t="n">
        <v>46286</v>
      </c>
      <c r="C709" s="36" t="n">
        <v>46292</v>
      </c>
      <c r="D709" s="35" t="s">
        <v>54</v>
      </c>
      <c r="E709" s="35" t="s">
        <v>34</v>
      </c>
      <c r="F709" s="35" t="s">
        <v>15</v>
      </c>
      <c r="G709" s="35"/>
      <c r="H709" s="37" t="n">
        <f aca="false">IFERROR(VLOOKUP(D709,Settings!$A$5:$C$14,3,FALSE()),"")</f>
        <v>5</v>
      </c>
      <c r="I709" s="37" t="n">
        <f aca="false">IF(C709="","",C709-B709)</f>
        <v>6</v>
      </c>
      <c r="J709" s="38" t="str">
        <f aca="false">IF(I709="","",IF(I709&gt;H709,"Delayed","On Time"))</f>
        <v>Delayed</v>
      </c>
      <c r="K709" s="37" t="n">
        <f aca="false">IF(J709="Delayed",I709-H709,"")</f>
        <v>1</v>
      </c>
    </row>
    <row r="710" customFormat="false" ht="15" hidden="false" customHeight="false" outlineLevel="0" collapsed="false">
      <c r="A710" s="35" t="s">
        <v>774</v>
      </c>
      <c r="B710" s="36" t="n">
        <v>46286</v>
      </c>
      <c r="C710" s="36" t="n">
        <v>46291</v>
      </c>
      <c r="D710" s="35" t="s">
        <v>50</v>
      </c>
      <c r="E710" s="35" t="s">
        <v>35</v>
      </c>
      <c r="F710" s="35" t="s">
        <v>15</v>
      </c>
      <c r="G710" s="35"/>
      <c r="H710" s="37" t="n">
        <f aca="false">IFERROR(VLOOKUP(D710,Settings!$A$5:$C$14,3,FALSE()),"")</f>
        <v>3</v>
      </c>
      <c r="I710" s="37" t="n">
        <f aca="false">IF(C710="","",C710-B710)</f>
        <v>5</v>
      </c>
      <c r="J710" s="38" t="str">
        <f aca="false">IF(I710="","",IF(I710&gt;H710,"Delayed","On Time"))</f>
        <v>Delayed</v>
      </c>
      <c r="K710" s="37" t="n">
        <f aca="false">IF(J710="Delayed",I710-H710,"")</f>
        <v>2</v>
      </c>
    </row>
    <row r="711" customFormat="false" ht="15" hidden="false" customHeight="false" outlineLevel="0" collapsed="false">
      <c r="A711" s="35" t="s">
        <v>775</v>
      </c>
      <c r="B711" s="36" t="n">
        <v>46287</v>
      </c>
      <c r="C711" s="36" t="n">
        <v>46294</v>
      </c>
      <c r="D711" s="35" t="s">
        <v>56</v>
      </c>
      <c r="E711" s="35" t="s">
        <v>36</v>
      </c>
      <c r="F711" s="35" t="s">
        <v>15</v>
      </c>
      <c r="G711" s="35"/>
      <c r="H711" s="37" t="n">
        <f aca="false">IFERROR(VLOOKUP(D711,Settings!$A$5:$C$14,3,FALSE()),"")</f>
        <v>6</v>
      </c>
      <c r="I711" s="37" t="n">
        <f aca="false">IF(C711="","",C711-B711)</f>
        <v>7</v>
      </c>
      <c r="J711" s="38" t="str">
        <f aca="false">IF(I711="","",IF(I711&gt;H711,"Delayed","On Time"))</f>
        <v>Delayed</v>
      </c>
      <c r="K711" s="37" t="n">
        <f aca="false">IF(J711="Delayed",I711-H711,"")</f>
        <v>1</v>
      </c>
    </row>
    <row r="712" customFormat="false" ht="15" hidden="false" customHeight="false" outlineLevel="0" collapsed="false">
      <c r="A712" s="35" t="s">
        <v>776</v>
      </c>
      <c r="B712" s="36" t="n">
        <v>46287</v>
      </c>
      <c r="C712" s="36" t="n">
        <v>46291</v>
      </c>
      <c r="D712" s="35" t="s">
        <v>44</v>
      </c>
      <c r="E712" s="35" t="s">
        <v>34</v>
      </c>
      <c r="F712" s="35" t="s">
        <v>15</v>
      </c>
      <c r="G712" s="35"/>
      <c r="H712" s="37" t="n">
        <f aca="false">IFERROR(VLOOKUP(D712,Settings!$A$5:$C$14,3,FALSE()),"")</f>
        <v>3</v>
      </c>
      <c r="I712" s="37" t="n">
        <f aca="false">IF(C712="","",C712-B712)</f>
        <v>4</v>
      </c>
      <c r="J712" s="38" t="str">
        <f aca="false">IF(I712="","",IF(I712&gt;H712,"Delayed","On Time"))</f>
        <v>Delayed</v>
      </c>
      <c r="K712" s="37" t="n">
        <f aca="false">IF(J712="Delayed",I712-H712,"")</f>
        <v>1</v>
      </c>
    </row>
    <row r="713" customFormat="false" ht="15" hidden="false" customHeight="false" outlineLevel="0" collapsed="false">
      <c r="A713" s="35" t="s">
        <v>777</v>
      </c>
      <c r="B713" s="36" t="n">
        <v>46287</v>
      </c>
      <c r="C713" s="36" t="n">
        <v>46289</v>
      </c>
      <c r="D713" s="35" t="s">
        <v>46</v>
      </c>
      <c r="E713" s="35" t="s">
        <v>33</v>
      </c>
      <c r="F713" s="35" t="s">
        <v>15</v>
      </c>
      <c r="G713" s="35"/>
      <c r="H713" s="37" t="n">
        <f aca="false">IFERROR(VLOOKUP(D713,Settings!$A$5:$C$14,3,FALSE()),"")</f>
        <v>3</v>
      </c>
      <c r="I713" s="37" t="n">
        <f aca="false">IF(C713="","",C713-B713)</f>
        <v>2</v>
      </c>
      <c r="J713" s="38" t="str">
        <f aca="false">IF(I713="","",IF(I713&gt;H713,"Delayed","On Time"))</f>
        <v>On Time</v>
      </c>
      <c r="K713" s="37" t="str">
        <f aca="false">IF(J713="Delayed",I713-H713,"")</f>
        <v/>
      </c>
    </row>
    <row r="714" customFormat="false" ht="15" hidden="false" customHeight="false" outlineLevel="0" collapsed="false">
      <c r="A714" s="35" t="s">
        <v>778</v>
      </c>
      <c r="B714" s="36" t="n">
        <v>46287</v>
      </c>
      <c r="C714" s="36" t="n">
        <v>46294</v>
      </c>
      <c r="D714" s="35" t="s">
        <v>54</v>
      </c>
      <c r="E714" s="35" t="s">
        <v>33</v>
      </c>
      <c r="F714" s="35" t="s">
        <v>15</v>
      </c>
      <c r="G714" s="35"/>
      <c r="H714" s="37" t="n">
        <f aca="false">IFERROR(VLOOKUP(D714,Settings!$A$5:$C$14,3,FALSE()),"")</f>
        <v>5</v>
      </c>
      <c r="I714" s="37" t="n">
        <f aca="false">IF(C714="","",C714-B714)</f>
        <v>7</v>
      </c>
      <c r="J714" s="38" t="str">
        <f aca="false">IF(I714="","",IF(I714&gt;H714,"Delayed","On Time"))</f>
        <v>Delayed</v>
      </c>
      <c r="K714" s="37" t="n">
        <f aca="false">IF(J714="Delayed",I714-H714,"")</f>
        <v>2</v>
      </c>
    </row>
    <row r="715" customFormat="false" ht="15" hidden="false" customHeight="false" outlineLevel="0" collapsed="false">
      <c r="A715" s="35" t="s">
        <v>779</v>
      </c>
      <c r="B715" s="36" t="n">
        <v>46287</v>
      </c>
      <c r="C715" s="36" t="n">
        <v>46291</v>
      </c>
      <c r="D715" s="35" t="s">
        <v>48</v>
      </c>
      <c r="E715" s="35" t="s">
        <v>33</v>
      </c>
      <c r="F715" s="35" t="s">
        <v>15</v>
      </c>
      <c r="G715" s="35"/>
      <c r="H715" s="37" t="n">
        <f aca="false">IFERROR(VLOOKUP(D715,Settings!$A$5:$C$14,3,FALSE()),"")</f>
        <v>3</v>
      </c>
      <c r="I715" s="37" t="n">
        <f aca="false">IF(C715="","",C715-B715)</f>
        <v>4</v>
      </c>
      <c r="J715" s="38" t="str">
        <f aca="false">IF(I715="","",IF(I715&gt;H715,"Delayed","On Time"))</f>
        <v>Delayed</v>
      </c>
      <c r="K715" s="37" t="n">
        <f aca="false">IF(J715="Delayed",I715-H715,"")</f>
        <v>1</v>
      </c>
    </row>
    <row r="716" customFormat="false" ht="15" hidden="false" customHeight="false" outlineLevel="0" collapsed="false">
      <c r="A716" s="35" t="s">
        <v>780</v>
      </c>
      <c r="B716" s="36" t="n">
        <v>46287</v>
      </c>
      <c r="C716" s="36" t="n">
        <v>46294</v>
      </c>
      <c r="D716" s="35" t="s">
        <v>55</v>
      </c>
      <c r="E716" s="35" t="s">
        <v>33</v>
      </c>
      <c r="F716" s="35" t="s">
        <v>15</v>
      </c>
      <c r="G716" s="35"/>
      <c r="H716" s="37" t="n">
        <f aca="false">IFERROR(VLOOKUP(D716,Settings!$A$5:$C$14,3,FALSE()),"")</f>
        <v>5</v>
      </c>
      <c r="I716" s="37" t="n">
        <f aca="false">IF(C716="","",C716-B716)</f>
        <v>7</v>
      </c>
      <c r="J716" s="38" t="str">
        <f aca="false">IF(I716="","",IF(I716&gt;H716,"Delayed","On Time"))</f>
        <v>Delayed</v>
      </c>
      <c r="K716" s="37" t="n">
        <f aca="false">IF(J716="Delayed",I716-H716,"")</f>
        <v>2</v>
      </c>
    </row>
    <row r="717" customFormat="false" ht="15" hidden="false" customHeight="false" outlineLevel="0" collapsed="false">
      <c r="A717" s="35" t="s">
        <v>781</v>
      </c>
      <c r="B717" s="36" t="n">
        <v>46287</v>
      </c>
      <c r="C717" s="36" t="n">
        <v>46290</v>
      </c>
      <c r="D717" s="35" t="s">
        <v>46</v>
      </c>
      <c r="E717" s="35" t="s">
        <v>35</v>
      </c>
      <c r="F717" s="35" t="s">
        <v>15</v>
      </c>
      <c r="G717" s="35"/>
      <c r="H717" s="37" t="n">
        <f aca="false">IFERROR(VLOOKUP(D717,Settings!$A$5:$C$14,3,FALSE()),"")</f>
        <v>3</v>
      </c>
      <c r="I717" s="37" t="n">
        <f aca="false">IF(C717="","",C717-B717)</f>
        <v>3</v>
      </c>
      <c r="J717" s="38" t="str">
        <f aca="false">IF(I717="","",IF(I717&gt;H717,"Delayed","On Time"))</f>
        <v>On Time</v>
      </c>
      <c r="K717" s="37" t="str">
        <f aca="false">IF(J717="Delayed",I717-H717,"")</f>
        <v/>
      </c>
    </row>
    <row r="718" customFormat="false" ht="15" hidden="false" customHeight="false" outlineLevel="0" collapsed="false">
      <c r="A718" s="35" t="s">
        <v>782</v>
      </c>
      <c r="B718" s="36" t="n">
        <v>46288</v>
      </c>
      <c r="C718" s="36" t="n">
        <v>46291</v>
      </c>
      <c r="D718" s="35" t="s">
        <v>44</v>
      </c>
      <c r="E718" s="35" t="s">
        <v>36</v>
      </c>
      <c r="F718" s="35" t="s">
        <v>15</v>
      </c>
      <c r="G718" s="35"/>
      <c r="H718" s="37" t="n">
        <f aca="false">IFERROR(VLOOKUP(D718,Settings!$A$5:$C$14,3,FALSE()),"")</f>
        <v>3</v>
      </c>
      <c r="I718" s="37" t="n">
        <f aca="false">IF(C718="","",C718-B718)</f>
        <v>3</v>
      </c>
      <c r="J718" s="38" t="str">
        <f aca="false">IF(I718="","",IF(I718&gt;H718,"Delayed","On Time"))</f>
        <v>On Time</v>
      </c>
      <c r="K718" s="37" t="str">
        <f aca="false">IF(J718="Delayed",I718-H718,"")</f>
        <v/>
      </c>
    </row>
    <row r="719" customFormat="false" ht="15" hidden="false" customHeight="false" outlineLevel="0" collapsed="false">
      <c r="A719" s="35" t="s">
        <v>783</v>
      </c>
      <c r="B719" s="36" t="n">
        <v>46288</v>
      </c>
      <c r="C719" s="36" t="n">
        <v>46290</v>
      </c>
      <c r="D719" s="35" t="s">
        <v>55</v>
      </c>
      <c r="E719" s="35" t="s">
        <v>34</v>
      </c>
      <c r="F719" s="35" t="s">
        <v>15</v>
      </c>
      <c r="G719" s="35"/>
      <c r="H719" s="37" t="n">
        <f aca="false">IFERROR(VLOOKUP(D719,Settings!$A$5:$C$14,3,FALSE()),"")</f>
        <v>5</v>
      </c>
      <c r="I719" s="37" t="n">
        <f aca="false">IF(C719="","",C719-B719)</f>
        <v>2</v>
      </c>
      <c r="J719" s="38" t="str">
        <f aca="false">IF(I719="","",IF(I719&gt;H719,"Delayed","On Time"))</f>
        <v>On Time</v>
      </c>
      <c r="K719" s="37" t="str">
        <f aca="false">IF(J719="Delayed",I719-H719,"")</f>
        <v/>
      </c>
    </row>
    <row r="720" customFormat="false" ht="15" hidden="false" customHeight="false" outlineLevel="0" collapsed="false">
      <c r="A720" s="35" t="s">
        <v>784</v>
      </c>
      <c r="B720" s="36" t="n">
        <v>46288</v>
      </c>
      <c r="C720" s="36" t="n">
        <v>46289</v>
      </c>
      <c r="D720" s="35" t="s">
        <v>48</v>
      </c>
      <c r="E720" s="35" t="s">
        <v>36</v>
      </c>
      <c r="F720" s="35" t="s">
        <v>17</v>
      </c>
      <c r="G720" s="35" t="s">
        <v>43</v>
      </c>
      <c r="H720" s="37" t="n">
        <f aca="false">IFERROR(VLOOKUP(D720,Settings!$A$5:$C$14,3,FALSE()),"")</f>
        <v>3</v>
      </c>
      <c r="I720" s="37" t="n">
        <f aca="false">IF(C720="","",C720-B720)</f>
        <v>1</v>
      </c>
      <c r="J720" s="38" t="str">
        <f aca="false">IF(I720="","",IF(I720&gt;H720,"Delayed","On Time"))</f>
        <v>On Time</v>
      </c>
      <c r="K720" s="37" t="str">
        <f aca="false">IF(J720="Delayed",I720-H720,"")</f>
        <v/>
      </c>
    </row>
    <row r="721" customFormat="false" ht="15" hidden="false" customHeight="false" outlineLevel="0" collapsed="false">
      <c r="A721" s="35" t="s">
        <v>785</v>
      </c>
      <c r="B721" s="36" t="n">
        <v>46288</v>
      </c>
      <c r="C721" s="36" t="n">
        <v>46290</v>
      </c>
      <c r="D721" s="35" t="s">
        <v>48</v>
      </c>
      <c r="E721" s="35" t="s">
        <v>36</v>
      </c>
      <c r="F721" s="35" t="s">
        <v>15</v>
      </c>
      <c r="G721" s="35"/>
      <c r="H721" s="37" t="n">
        <f aca="false">IFERROR(VLOOKUP(D721,Settings!$A$5:$C$14,3,FALSE()),"")</f>
        <v>3</v>
      </c>
      <c r="I721" s="37" t="n">
        <f aca="false">IF(C721="","",C721-B721)</f>
        <v>2</v>
      </c>
      <c r="J721" s="38" t="str">
        <f aca="false">IF(I721="","",IF(I721&gt;H721,"Delayed","On Time"))</f>
        <v>On Time</v>
      </c>
      <c r="K721" s="37" t="str">
        <f aca="false">IF(J721="Delayed",I721-H721,"")</f>
        <v/>
      </c>
    </row>
    <row r="722" customFormat="false" ht="15" hidden="false" customHeight="false" outlineLevel="0" collapsed="false">
      <c r="A722" s="35" t="s">
        <v>786</v>
      </c>
      <c r="B722" s="36" t="n">
        <v>46288</v>
      </c>
      <c r="C722" s="36" t="n">
        <v>46290</v>
      </c>
      <c r="D722" s="35" t="s">
        <v>44</v>
      </c>
      <c r="E722" s="35" t="s">
        <v>34</v>
      </c>
      <c r="F722" s="35" t="s">
        <v>15</v>
      </c>
      <c r="G722" s="35"/>
      <c r="H722" s="37" t="n">
        <f aca="false">IFERROR(VLOOKUP(D722,Settings!$A$5:$C$14,3,FALSE()),"")</f>
        <v>3</v>
      </c>
      <c r="I722" s="37" t="n">
        <f aca="false">IF(C722="","",C722-B722)</f>
        <v>2</v>
      </c>
      <c r="J722" s="38" t="str">
        <f aca="false">IF(I722="","",IF(I722&gt;H722,"Delayed","On Time"))</f>
        <v>On Time</v>
      </c>
      <c r="K722" s="37" t="str">
        <f aca="false">IF(J722="Delayed",I722-H722,"")</f>
        <v/>
      </c>
    </row>
    <row r="723" customFormat="false" ht="15" hidden="false" customHeight="false" outlineLevel="0" collapsed="false">
      <c r="A723" s="35" t="s">
        <v>787</v>
      </c>
      <c r="B723" s="36" t="n">
        <v>46288</v>
      </c>
      <c r="C723" s="36" t="n">
        <v>46294</v>
      </c>
      <c r="D723" s="35" t="s">
        <v>48</v>
      </c>
      <c r="E723" s="35" t="s">
        <v>35</v>
      </c>
      <c r="F723" s="35" t="s">
        <v>15</v>
      </c>
      <c r="G723" s="35"/>
      <c r="H723" s="37" t="n">
        <f aca="false">IFERROR(VLOOKUP(D723,Settings!$A$5:$C$14,3,FALSE()),"")</f>
        <v>3</v>
      </c>
      <c r="I723" s="37" t="n">
        <f aca="false">IF(C723="","",C723-B723)</f>
        <v>6</v>
      </c>
      <c r="J723" s="38" t="str">
        <f aca="false">IF(I723="","",IF(I723&gt;H723,"Delayed","On Time"))</f>
        <v>Delayed</v>
      </c>
      <c r="K723" s="37" t="n">
        <f aca="false">IF(J723="Delayed",I723-H723,"")</f>
        <v>3</v>
      </c>
    </row>
    <row r="724" customFormat="false" ht="15" hidden="false" customHeight="false" outlineLevel="0" collapsed="false">
      <c r="A724" s="35" t="s">
        <v>788</v>
      </c>
      <c r="B724" s="36" t="n">
        <v>46288</v>
      </c>
      <c r="C724" s="36" t="n">
        <v>46292</v>
      </c>
      <c r="D724" s="35" t="s">
        <v>46</v>
      </c>
      <c r="E724" s="35" t="s">
        <v>36</v>
      </c>
      <c r="F724" s="35" t="s">
        <v>15</v>
      </c>
      <c r="G724" s="35"/>
      <c r="H724" s="37" t="n">
        <f aca="false">IFERROR(VLOOKUP(D724,Settings!$A$5:$C$14,3,FALSE()),"")</f>
        <v>3</v>
      </c>
      <c r="I724" s="37" t="n">
        <f aca="false">IF(C724="","",C724-B724)</f>
        <v>4</v>
      </c>
      <c r="J724" s="38" t="str">
        <f aca="false">IF(I724="","",IF(I724&gt;H724,"Delayed","On Time"))</f>
        <v>Delayed</v>
      </c>
      <c r="K724" s="37" t="n">
        <f aca="false">IF(J724="Delayed",I724-H724,"")</f>
        <v>1</v>
      </c>
    </row>
    <row r="725" customFormat="false" ht="15" hidden="false" customHeight="false" outlineLevel="0" collapsed="false">
      <c r="A725" s="35" t="s">
        <v>789</v>
      </c>
      <c r="B725" s="36" t="n">
        <v>46288</v>
      </c>
      <c r="C725" s="36" t="n">
        <v>46295</v>
      </c>
      <c r="D725" s="35" t="s">
        <v>57</v>
      </c>
      <c r="E725" s="35" t="s">
        <v>36</v>
      </c>
      <c r="F725" s="35" t="s">
        <v>15</v>
      </c>
      <c r="G725" s="35"/>
      <c r="H725" s="37" t="n">
        <f aca="false">IFERROR(VLOOKUP(D725,Settings!$A$5:$C$14,3,FALSE()),"")</f>
        <v>7</v>
      </c>
      <c r="I725" s="37" t="n">
        <f aca="false">IF(C725="","",C725-B725)</f>
        <v>7</v>
      </c>
      <c r="J725" s="38" t="str">
        <f aca="false">IF(I725="","",IF(I725&gt;H725,"Delayed","On Time"))</f>
        <v>On Time</v>
      </c>
      <c r="K725" s="37" t="str">
        <f aca="false">IF(J725="Delayed",I725-H725,"")</f>
        <v/>
      </c>
    </row>
    <row r="726" customFormat="false" ht="15" hidden="false" customHeight="false" outlineLevel="0" collapsed="false">
      <c r="A726" s="35" t="s">
        <v>790</v>
      </c>
      <c r="B726" s="36" t="n">
        <v>46288</v>
      </c>
      <c r="C726" s="36" t="n">
        <v>46291</v>
      </c>
      <c r="D726" s="35" t="s">
        <v>44</v>
      </c>
      <c r="E726" s="35" t="s">
        <v>36</v>
      </c>
      <c r="F726" s="35" t="s">
        <v>15</v>
      </c>
      <c r="G726" s="35"/>
      <c r="H726" s="37" t="n">
        <f aca="false">IFERROR(VLOOKUP(D726,Settings!$A$5:$C$14,3,FALSE()),"")</f>
        <v>3</v>
      </c>
      <c r="I726" s="37" t="n">
        <f aca="false">IF(C726="","",C726-B726)</f>
        <v>3</v>
      </c>
      <c r="J726" s="38" t="str">
        <f aca="false">IF(I726="","",IF(I726&gt;H726,"Delayed","On Time"))</f>
        <v>On Time</v>
      </c>
      <c r="K726" s="37" t="str">
        <f aca="false">IF(J726="Delayed",I726-H726,"")</f>
        <v/>
      </c>
    </row>
    <row r="727" customFormat="false" ht="15" hidden="false" customHeight="false" outlineLevel="0" collapsed="false">
      <c r="A727" s="35" t="s">
        <v>791</v>
      </c>
      <c r="B727" s="36" t="n">
        <v>46288</v>
      </c>
      <c r="C727" s="36" t="n">
        <v>46295</v>
      </c>
      <c r="D727" s="35" t="s">
        <v>57</v>
      </c>
      <c r="E727" s="35" t="s">
        <v>35</v>
      </c>
      <c r="F727" s="35" t="s">
        <v>15</v>
      </c>
      <c r="G727" s="35"/>
      <c r="H727" s="37" t="n">
        <f aca="false">IFERROR(VLOOKUP(D727,Settings!$A$5:$C$14,3,FALSE()),"")</f>
        <v>7</v>
      </c>
      <c r="I727" s="37" t="n">
        <f aca="false">IF(C727="","",C727-B727)</f>
        <v>7</v>
      </c>
      <c r="J727" s="38" t="str">
        <f aca="false">IF(I727="","",IF(I727&gt;H727,"Delayed","On Time"))</f>
        <v>On Time</v>
      </c>
      <c r="K727" s="37" t="str">
        <f aca="false">IF(J727="Delayed",I727-H727,"")</f>
        <v/>
      </c>
    </row>
    <row r="728" customFormat="false" ht="15" hidden="false" customHeight="false" outlineLevel="0" collapsed="false">
      <c r="A728" s="35" t="s">
        <v>792</v>
      </c>
      <c r="B728" s="36" t="n">
        <v>46288</v>
      </c>
      <c r="C728" s="36" t="n">
        <v>46291</v>
      </c>
      <c r="D728" s="35" t="s">
        <v>52</v>
      </c>
      <c r="E728" s="35" t="s">
        <v>33</v>
      </c>
      <c r="F728" s="35" t="s">
        <v>17</v>
      </c>
      <c r="G728" s="35" t="s">
        <v>43</v>
      </c>
      <c r="H728" s="37" t="n">
        <f aca="false">IFERROR(VLOOKUP(D728,Settings!$A$5:$C$14,3,FALSE()),"")</f>
        <v>4</v>
      </c>
      <c r="I728" s="37" t="n">
        <f aca="false">IF(C728="","",C728-B728)</f>
        <v>3</v>
      </c>
      <c r="J728" s="38" t="str">
        <f aca="false">IF(I728="","",IF(I728&gt;H728,"Delayed","On Time"))</f>
        <v>On Time</v>
      </c>
      <c r="K728" s="37" t="str">
        <f aca="false">IF(J728="Delayed",I728-H728,"")</f>
        <v/>
      </c>
    </row>
    <row r="729" customFormat="false" ht="15" hidden="false" customHeight="false" outlineLevel="0" collapsed="false">
      <c r="A729" s="35" t="s">
        <v>793</v>
      </c>
      <c r="B729" s="36" t="n">
        <v>46288</v>
      </c>
      <c r="C729" s="36" t="n">
        <v>46294</v>
      </c>
      <c r="D729" s="35" t="s">
        <v>53</v>
      </c>
      <c r="E729" s="35" t="s">
        <v>36</v>
      </c>
      <c r="F729" s="35" t="s">
        <v>15</v>
      </c>
      <c r="G729" s="35"/>
      <c r="H729" s="37" t="n">
        <f aca="false">IFERROR(VLOOKUP(D729,Settings!$A$5:$C$14,3,FALSE()),"")</f>
        <v>5</v>
      </c>
      <c r="I729" s="37" t="n">
        <f aca="false">IF(C729="","",C729-B729)</f>
        <v>6</v>
      </c>
      <c r="J729" s="38" t="str">
        <f aca="false">IF(I729="","",IF(I729&gt;H729,"Delayed","On Time"))</f>
        <v>Delayed</v>
      </c>
      <c r="K729" s="37" t="n">
        <f aca="false">IF(J729="Delayed",I729-H729,"")</f>
        <v>1</v>
      </c>
    </row>
    <row r="730" customFormat="false" ht="15" hidden="false" customHeight="false" outlineLevel="0" collapsed="false">
      <c r="A730" s="35" t="s">
        <v>794</v>
      </c>
      <c r="B730" s="36" t="n">
        <v>46288</v>
      </c>
      <c r="C730" s="36" t="n">
        <v>46292</v>
      </c>
      <c r="D730" s="35" t="s">
        <v>50</v>
      </c>
      <c r="E730" s="35" t="s">
        <v>35</v>
      </c>
      <c r="F730" s="35" t="s">
        <v>15</v>
      </c>
      <c r="G730" s="35"/>
      <c r="H730" s="37" t="n">
        <f aca="false">IFERROR(VLOOKUP(D730,Settings!$A$5:$C$14,3,FALSE()),"")</f>
        <v>3</v>
      </c>
      <c r="I730" s="37" t="n">
        <f aca="false">IF(C730="","",C730-B730)</f>
        <v>4</v>
      </c>
      <c r="J730" s="38" t="str">
        <f aca="false">IF(I730="","",IF(I730&gt;H730,"Delayed","On Time"))</f>
        <v>Delayed</v>
      </c>
      <c r="K730" s="37" t="n">
        <f aca="false">IF(J730="Delayed",I730-H730,"")</f>
        <v>1</v>
      </c>
    </row>
    <row r="731" customFormat="false" ht="15" hidden="false" customHeight="false" outlineLevel="0" collapsed="false">
      <c r="A731" s="35" t="s">
        <v>795</v>
      </c>
      <c r="B731" s="36" t="n">
        <v>46288</v>
      </c>
      <c r="C731" s="36" t="n">
        <v>46293</v>
      </c>
      <c r="D731" s="35" t="s">
        <v>46</v>
      </c>
      <c r="E731" s="35" t="s">
        <v>34</v>
      </c>
      <c r="F731" s="35" t="s">
        <v>15</v>
      </c>
      <c r="G731" s="35"/>
      <c r="H731" s="37" t="n">
        <f aca="false">IFERROR(VLOOKUP(D731,Settings!$A$5:$C$14,3,FALSE()),"")</f>
        <v>3</v>
      </c>
      <c r="I731" s="37" t="n">
        <f aca="false">IF(C731="","",C731-B731)</f>
        <v>5</v>
      </c>
      <c r="J731" s="38" t="str">
        <f aca="false">IF(I731="","",IF(I731&gt;H731,"Delayed","On Time"))</f>
        <v>Delayed</v>
      </c>
      <c r="K731" s="37" t="n">
        <f aca="false">IF(J731="Delayed",I731-H731,"")</f>
        <v>2</v>
      </c>
    </row>
    <row r="732" customFormat="false" ht="15" hidden="false" customHeight="false" outlineLevel="0" collapsed="false">
      <c r="A732" s="35" t="s">
        <v>796</v>
      </c>
      <c r="B732" s="36" t="n">
        <v>46288</v>
      </c>
      <c r="C732" s="36" t="n">
        <v>46291</v>
      </c>
      <c r="D732" s="35" t="s">
        <v>44</v>
      </c>
      <c r="E732" s="35" t="s">
        <v>36</v>
      </c>
      <c r="F732" s="35" t="s">
        <v>15</v>
      </c>
      <c r="G732" s="35"/>
      <c r="H732" s="37" t="n">
        <f aca="false">IFERROR(VLOOKUP(D732,Settings!$A$5:$C$14,3,FALSE()),"")</f>
        <v>3</v>
      </c>
      <c r="I732" s="37" t="n">
        <f aca="false">IF(C732="","",C732-B732)</f>
        <v>3</v>
      </c>
      <c r="J732" s="38" t="str">
        <f aca="false">IF(I732="","",IF(I732&gt;H732,"Delayed","On Time"))</f>
        <v>On Time</v>
      </c>
      <c r="K732" s="37" t="str">
        <f aca="false">IF(J732="Delayed",I732-H732,"")</f>
        <v/>
      </c>
    </row>
    <row r="733" customFormat="false" ht="15" hidden="false" customHeight="false" outlineLevel="0" collapsed="false">
      <c r="A733" s="35" t="s">
        <v>797</v>
      </c>
      <c r="B733" s="36" t="n">
        <v>46288</v>
      </c>
      <c r="C733" s="36" t="n">
        <v>46291</v>
      </c>
      <c r="D733" s="35" t="s">
        <v>52</v>
      </c>
      <c r="E733" s="35" t="s">
        <v>36</v>
      </c>
      <c r="F733" s="35" t="s">
        <v>15</v>
      </c>
      <c r="G733" s="35"/>
      <c r="H733" s="37" t="n">
        <f aca="false">IFERROR(VLOOKUP(D733,Settings!$A$5:$C$14,3,FALSE()),"")</f>
        <v>4</v>
      </c>
      <c r="I733" s="37" t="n">
        <f aca="false">IF(C733="","",C733-B733)</f>
        <v>3</v>
      </c>
      <c r="J733" s="38" t="str">
        <f aca="false">IF(I733="","",IF(I733&gt;H733,"Delayed","On Time"))</f>
        <v>On Time</v>
      </c>
      <c r="K733" s="37" t="str">
        <f aca="false">IF(J733="Delayed",I733-H733,"")</f>
        <v/>
      </c>
    </row>
    <row r="734" customFormat="false" ht="15" hidden="false" customHeight="false" outlineLevel="0" collapsed="false">
      <c r="A734" s="35" t="s">
        <v>798</v>
      </c>
      <c r="B734" s="36" t="n">
        <v>46289</v>
      </c>
      <c r="C734" s="36"/>
      <c r="D734" s="35" t="s">
        <v>53</v>
      </c>
      <c r="E734" s="35" t="s">
        <v>34</v>
      </c>
      <c r="F734" s="35" t="s">
        <v>18</v>
      </c>
      <c r="G734" s="35" t="s">
        <v>45</v>
      </c>
      <c r="H734" s="37" t="n">
        <f aca="false">IFERROR(VLOOKUP(D734,Settings!$A$5:$C$14,3,FALSE()),"")</f>
        <v>5</v>
      </c>
      <c r="I734" s="37" t="str">
        <f aca="false">IF(C734="","",C734-B734)</f>
        <v/>
      </c>
      <c r="J734" s="38" t="str">
        <f aca="false">IF(I734="","",IF(I734&gt;H734,"Delayed","On Time"))</f>
        <v/>
      </c>
      <c r="K734" s="37" t="str">
        <f aca="false">IF(J734="Delayed",I734-H734,"")</f>
        <v/>
      </c>
    </row>
    <row r="735" customFormat="false" ht="15" hidden="false" customHeight="false" outlineLevel="0" collapsed="false">
      <c r="A735" s="35" t="s">
        <v>799</v>
      </c>
      <c r="B735" s="36" t="n">
        <v>46289</v>
      </c>
      <c r="C735" s="36" t="n">
        <v>46295</v>
      </c>
      <c r="D735" s="35" t="s">
        <v>46</v>
      </c>
      <c r="E735" s="35" t="s">
        <v>33</v>
      </c>
      <c r="F735" s="35" t="s">
        <v>15</v>
      </c>
      <c r="G735" s="35"/>
      <c r="H735" s="37" t="n">
        <f aca="false">IFERROR(VLOOKUP(D735,Settings!$A$5:$C$14,3,FALSE()),"")</f>
        <v>3</v>
      </c>
      <c r="I735" s="37" t="n">
        <f aca="false">IF(C735="","",C735-B735)</f>
        <v>6</v>
      </c>
      <c r="J735" s="38" t="str">
        <f aca="false">IF(I735="","",IF(I735&gt;H735,"Delayed","On Time"))</f>
        <v>Delayed</v>
      </c>
      <c r="K735" s="37" t="n">
        <f aca="false">IF(J735="Delayed",I735-H735,"")</f>
        <v>3</v>
      </c>
    </row>
    <row r="736" customFormat="false" ht="15" hidden="false" customHeight="false" outlineLevel="0" collapsed="false">
      <c r="A736" s="35" t="s">
        <v>800</v>
      </c>
      <c r="B736" s="36" t="n">
        <v>46289</v>
      </c>
      <c r="C736" s="36" t="n">
        <v>46294</v>
      </c>
      <c r="D736" s="35" t="s">
        <v>50</v>
      </c>
      <c r="E736" s="35" t="s">
        <v>34</v>
      </c>
      <c r="F736" s="35" t="s">
        <v>15</v>
      </c>
      <c r="G736" s="35"/>
      <c r="H736" s="37" t="n">
        <f aca="false">IFERROR(VLOOKUP(D736,Settings!$A$5:$C$14,3,FALSE()),"")</f>
        <v>3</v>
      </c>
      <c r="I736" s="37" t="n">
        <f aca="false">IF(C736="","",C736-B736)</f>
        <v>5</v>
      </c>
      <c r="J736" s="38" t="str">
        <f aca="false">IF(I736="","",IF(I736&gt;H736,"Delayed","On Time"))</f>
        <v>Delayed</v>
      </c>
      <c r="K736" s="37" t="n">
        <f aca="false">IF(J736="Delayed",I736-H736,"")</f>
        <v>2</v>
      </c>
    </row>
    <row r="737" customFormat="false" ht="15" hidden="false" customHeight="false" outlineLevel="0" collapsed="false">
      <c r="A737" s="35" t="s">
        <v>801</v>
      </c>
      <c r="B737" s="36" t="n">
        <v>46289</v>
      </c>
      <c r="C737" s="36" t="n">
        <v>46292</v>
      </c>
      <c r="D737" s="35" t="s">
        <v>44</v>
      </c>
      <c r="E737" s="35" t="s">
        <v>33</v>
      </c>
      <c r="F737" s="35" t="s">
        <v>15</v>
      </c>
      <c r="G737" s="35"/>
      <c r="H737" s="37" t="n">
        <f aca="false">IFERROR(VLOOKUP(D737,Settings!$A$5:$C$14,3,FALSE()),"")</f>
        <v>3</v>
      </c>
      <c r="I737" s="37" t="n">
        <f aca="false">IF(C737="","",C737-B737)</f>
        <v>3</v>
      </c>
      <c r="J737" s="38" t="str">
        <f aca="false">IF(I737="","",IF(I737&gt;H737,"Delayed","On Time"))</f>
        <v>On Time</v>
      </c>
      <c r="K737" s="37" t="str">
        <f aca="false">IF(J737="Delayed",I737-H737,"")</f>
        <v/>
      </c>
    </row>
    <row r="738" customFormat="false" ht="15" hidden="false" customHeight="false" outlineLevel="0" collapsed="false">
      <c r="A738" s="35" t="s">
        <v>802</v>
      </c>
      <c r="B738" s="36" t="n">
        <v>46289</v>
      </c>
      <c r="C738" s="36"/>
      <c r="D738" s="35" t="s">
        <v>46</v>
      </c>
      <c r="E738" s="35" t="s">
        <v>34</v>
      </c>
      <c r="F738" s="35" t="s">
        <v>18</v>
      </c>
      <c r="G738" s="35" t="s">
        <v>47</v>
      </c>
      <c r="H738" s="37" t="n">
        <f aca="false">IFERROR(VLOOKUP(D738,Settings!$A$5:$C$14,3,FALSE()),"")</f>
        <v>3</v>
      </c>
      <c r="I738" s="37" t="str">
        <f aca="false">IF(C738="","",C738-B738)</f>
        <v/>
      </c>
      <c r="J738" s="38" t="str">
        <f aca="false">IF(I738="","",IF(I738&gt;H738,"Delayed","On Time"))</f>
        <v/>
      </c>
      <c r="K738" s="37" t="str">
        <f aca="false">IF(J738="Delayed",I738-H738,"")</f>
        <v/>
      </c>
    </row>
    <row r="739" customFormat="false" ht="15" hidden="false" customHeight="false" outlineLevel="0" collapsed="false">
      <c r="A739" s="35" t="s">
        <v>803</v>
      </c>
      <c r="B739" s="36" t="n">
        <v>46289</v>
      </c>
      <c r="C739" s="36" t="n">
        <v>46293</v>
      </c>
      <c r="D739" s="35" t="s">
        <v>46</v>
      </c>
      <c r="E739" s="35" t="s">
        <v>34</v>
      </c>
      <c r="F739" s="35" t="s">
        <v>15</v>
      </c>
      <c r="G739" s="35"/>
      <c r="H739" s="37" t="n">
        <f aca="false">IFERROR(VLOOKUP(D739,Settings!$A$5:$C$14,3,FALSE()),"")</f>
        <v>3</v>
      </c>
      <c r="I739" s="37" t="n">
        <f aca="false">IF(C739="","",C739-B739)</f>
        <v>4</v>
      </c>
      <c r="J739" s="38" t="str">
        <f aca="false">IF(I739="","",IF(I739&gt;H739,"Delayed","On Time"))</f>
        <v>Delayed</v>
      </c>
      <c r="K739" s="37" t="n">
        <f aca="false">IF(J739="Delayed",I739-H739,"")</f>
        <v>1</v>
      </c>
    </row>
    <row r="740" customFormat="false" ht="15" hidden="false" customHeight="false" outlineLevel="0" collapsed="false">
      <c r="A740" s="35" t="s">
        <v>804</v>
      </c>
      <c r="B740" s="36" t="n">
        <v>46289</v>
      </c>
      <c r="C740" s="36" t="n">
        <v>46293</v>
      </c>
      <c r="D740" s="35" t="s">
        <v>44</v>
      </c>
      <c r="E740" s="35" t="s">
        <v>34</v>
      </c>
      <c r="F740" s="35" t="s">
        <v>15</v>
      </c>
      <c r="G740" s="35"/>
      <c r="H740" s="37" t="n">
        <f aca="false">IFERROR(VLOOKUP(D740,Settings!$A$5:$C$14,3,FALSE()),"")</f>
        <v>3</v>
      </c>
      <c r="I740" s="37" t="n">
        <f aca="false">IF(C740="","",C740-B740)</f>
        <v>4</v>
      </c>
      <c r="J740" s="38" t="str">
        <f aca="false">IF(I740="","",IF(I740&gt;H740,"Delayed","On Time"))</f>
        <v>Delayed</v>
      </c>
      <c r="K740" s="37" t="n">
        <f aca="false">IF(J740="Delayed",I740-H740,"")</f>
        <v>1</v>
      </c>
    </row>
    <row r="741" customFormat="false" ht="15" hidden="false" customHeight="false" outlineLevel="0" collapsed="false">
      <c r="A741" s="35" t="s">
        <v>805</v>
      </c>
      <c r="B741" s="36" t="n">
        <v>46289</v>
      </c>
      <c r="C741" s="36" t="n">
        <v>46294</v>
      </c>
      <c r="D741" s="35" t="s">
        <v>46</v>
      </c>
      <c r="E741" s="35" t="s">
        <v>34</v>
      </c>
      <c r="F741" s="35" t="s">
        <v>15</v>
      </c>
      <c r="G741" s="35"/>
      <c r="H741" s="37" t="n">
        <f aca="false">IFERROR(VLOOKUP(D741,Settings!$A$5:$C$14,3,FALSE()),"")</f>
        <v>3</v>
      </c>
      <c r="I741" s="37" t="n">
        <f aca="false">IF(C741="","",C741-B741)</f>
        <v>5</v>
      </c>
      <c r="J741" s="38" t="str">
        <f aca="false">IF(I741="","",IF(I741&gt;H741,"Delayed","On Time"))</f>
        <v>Delayed</v>
      </c>
      <c r="K741" s="37" t="n">
        <f aca="false">IF(J741="Delayed",I741-H741,"")</f>
        <v>2</v>
      </c>
    </row>
    <row r="742" customFormat="false" ht="15" hidden="false" customHeight="false" outlineLevel="0" collapsed="false">
      <c r="A742" s="35" t="s">
        <v>806</v>
      </c>
      <c r="B742" s="36" t="n">
        <v>46289</v>
      </c>
      <c r="C742" s="36" t="n">
        <v>46291</v>
      </c>
      <c r="D742" s="35" t="s">
        <v>46</v>
      </c>
      <c r="E742" s="35" t="s">
        <v>33</v>
      </c>
      <c r="F742" s="35" t="s">
        <v>15</v>
      </c>
      <c r="G742" s="35"/>
      <c r="H742" s="37" t="n">
        <f aca="false">IFERROR(VLOOKUP(D742,Settings!$A$5:$C$14,3,FALSE()),"")</f>
        <v>3</v>
      </c>
      <c r="I742" s="37" t="n">
        <f aca="false">IF(C742="","",C742-B742)</f>
        <v>2</v>
      </c>
      <c r="J742" s="38" t="str">
        <f aca="false">IF(I742="","",IF(I742&gt;H742,"Delayed","On Time"))</f>
        <v>On Time</v>
      </c>
      <c r="K742" s="37" t="str">
        <f aca="false">IF(J742="Delayed",I742-H742,"")</f>
        <v/>
      </c>
    </row>
    <row r="743" customFormat="false" ht="15" hidden="false" customHeight="false" outlineLevel="0" collapsed="false">
      <c r="A743" s="35" t="s">
        <v>807</v>
      </c>
      <c r="B743" s="36" t="n">
        <v>46289</v>
      </c>
      <c r="C743" s="36" t="n">
        <v>46292</v>
      </c>
      <c r="D743" s="35" t="s">
        <v>46</v>
      </c>
      <c r="E743" s="35" t="s">
        <v>34</v>
      </c>
      <c r="F743" s="35" t="s">
        <v>15</v>
      </c>
      <c r="G743" s="35"/>
      <c r="H743" s="37" t="n">
        <f aca="false">IFERROR(VLOOKUP(D743,Settings!$A$5:$C$14,3,FALSE()),"")</f>
        <v>3</v>
      </c>
      <c r="I743" s="37" t="n">
        <f aca="false">IF(C743="","",C743-B743)</f>
        <v>3</v>
      </c>
      <c r="J743" s="38" t="str">
        <f aca="false">IF(I743="","",IF(I743&gt;H743,"Delayed","On Time"))</f>
        <v>On Time</v>
      </c>
      <c r="K743" s="37" t="str">
        <f aca="false">IF(J743="Delayed",I743-H743,"")</f>
        <v/>
      </c>
    </row>
    <row r="744" customFormat="false" ht="15" hidden="false" customHeight="false" outlineLevel="0" collapsed="false">
      <c r="A744" s="35" t="s">
        <v>808</v>
      </c>
      <c r="B744" s="36" t="n">
        <v>46289</v>
      </c>
      <c r="C744" s="36" t="n">
        <v>46295</v>
      </c>
      <c r="D744" s="35" t="s">
        <v>57</v>
      </c>
      <c r="E744" s="35" t="s">
        <v>36</v>
      </c>
      <c r="F744" s="35" t="s">
        <v>15</v>
      </c>
      <c r="G744" s="35"/>
      <c r="H744" s="37" t="n">
        <f aca="false">IFERROR(VLOOKUP(D744,Settings!$A$5:$C$14,3,FALSE()),"")</f>
        <v>7</v>
      </c>
      <c r="I744" s="37" t="n">
        <f aca="false">IF(C744="","",C744-B744)</f>
        <v>6</v>
      </c>
      <c r="J744" s="38" t="str">
        <f aca="false">IF(I744="","",IF(I744&gt;H744,"Delayed","On Time"))</f>
        <v>On Time</v>
      </c>
      <c r="K744" s="37" t="str">
        <f aca="false">IF(J744="Delayed",I744-H744,"")</f>
        <v/>
      </c>
    </row>
    <row r="745" customFormat="false" ht="15" hidden="false" customHeight="false" outlineLevel="0" collapsed="false">
      <c r="A745" s="35" t="s">
        <v>809</v>
      </c>
      <c r="B745" s="36" t="n">
        <v>46289</v>
      </c>
      <c r="C745" s="36" t="n">
        <v>46295</v>
      </c>
      <c r="D745" s="35" t="s">
        <v>53</v>
      </c>
      <c r="E745" s="35" t="s">
        <v>34</v>
      </c>
      <c r="F745" s="35" t="s">
        <v>17</v>
      </c>
      <c r="G745" s="35" t="s">
        <v>51</v>
      </c>
      <c r="H745" s="37" t="n">
        <f aca="false">IFERROR(VLOOKUP(D745,Settings!$A$5:$C$14,3,FALSE()),"")</f>
        <v>5</v>
      </c>
      <c r="I745" s="37" t="n">
        <f aca="false">IF(C745="","",C745-B745)</f>
        <v>6</v>
      </c>
      <c r="J745" s="38" t="str">
        <f aca="false">IF(I745="","",IF(I745&gt;H745,"Delayed","On Time"))</f>
        <v>Delayed</v>
      </c>
      <c r="K745" s="37" t="n">
        <f aca="false">IF(J745="Delayed",I745-H745,"")</f>
        <v>1</v>
      </c>
    </row>
    <row r="746" customFormat="false" ht="15" hidden="false" customHeight="false" outlineLevel="0" collapsed="false">
      <c r="A746" s="35" t="s">
        <v>810</v>
      </c>
      <c r="B746" s="36" t="n">
        <v>46289</v>
      </c>
      <c r="C746" s="36" t="n">
        <v>46292</v>
      </c>
      <c r="D746" s="35" t="s">
        <v>48</v>
      </c>
      <c r="E746" s="35" t="s">
        <v>36</v>
      </c>
      <c r="F746" s="35" t="s">
        <v>15</v>
      </c>
      <c r="G746" s="35"/>
      <c r="H746" s="37" t="n">
        <f aca="false">IFERROR(VLOOKUP(D746,Settings!$A$5:$C$14,3,FALSE()),"")</f>
        <v>3</v>
      </c>
      <c r="I746" s="37" t="n">
        <f aca="false">IF(C746="","",C746-B746)</f>
        <v>3</v>
      </c>
      <c r="J746" s="38" t="str">
        <f aca="false">IF(I746="","",IF(I746&gt;H746,"Delayed","On Time"))</f>
        <v>On Time</v>
      </c>
      <c r="K746" s="37" t="str">
        <f aca="false">IF(J746="Delayed",I746-H746,"")</f>
        <v/>
      </c>
    </row>
    <row r="747" customFormat="false" ht="15" hidden="false" customHeight="false" outlineLevel="0" collapsed="false">
      <c r="A747" s="35" t="s">
        <v>811</v>
      </c>
      <c r="B747" s="36" t="n">
        <v>46290</v>
      </c>
      <c r="C747" s="36" t="n">
        <v>46294</v>
      </c>
      <c r="D747" s="35" t="s">
        <v>52</v>
      </c>
      <c r="E747" s="35" t="s">
        <v>36</v>
      </c>
      <c r="F747" s="35" t="s">
        <v>15</v>
      </c>
      <c r="G747" s="35"/>
      <c r="H747" s="37" t="n">
        <f aca="false">IFERROR(VLOOKUP(D747,Settings!$A$5:$C$14,3,FALSE()),"")</f>
        <v>4</v>
      </c>
      <c r="I747" s="37" t="n">
        <f aca="false">IF(C747="","",C747-B747)</f>
        <v>4</v>
      </c>
      <c r="J747" s="38" t="str">
        <f aca="false">IF(I747="","",IF(I747&gt;H747,"Delayed","On Time"))</f>
        <v>On Time</v>
      </c>
      <c r="K747" s="37" t="str">
        <f aca="false">IF(J747="Delayed",I747-H747,"")</f>
        <v/>
      </c>
    </row>
    <row r="748" customFormat="false" ht="15" hidden="false" customHeight="false" outlineLevel="0" collapsed="false">
      <c r="A748" s="35" t="s">
        <v>812</v>
      </c>
      <c r="B748" s="36" t="n">
        <v>46290</v>
      </c>
      <c r="C748" s="36" t="n">
        <v>46293</v>
      </c>
      <c r="D748" s="35" t="s">
        <v>44</v>
      </c>
      <c r="E748" s="35" t="s">
        <v>34</v>
      </c>
      <c r="F748" s="35" t="s">
        <v>15</v>
      </c>
      <c r="G748" s="35"/>
      <c r="H748" s="37" t="n">
        <f aca="false">IFERROR(VLOOKUP(D748,Settings!$A$5:$C$14,3,FALSE()),"")</f>
        <v>3</v>
      </c>
      <c r="I748" s="37" t="n">
        <f aca="false">IF(C748="","",C748-B748)</f>
        <v>3</v>
      </c>
      <c r="J748" s="38" t="str">
        <f aca="false">IF(I748="","",IF(I748&gt;H748,"Delayed","On Time"))</f>
        <v>On Time</v>
      </c>
      <c r="K748" s="37" t="str">
        <f aca="false">IF(J748="Delayed",I748-H748,"")</f>
        <v/>
      </c>
    </row>
    <row r="749" customFormat="false" ht="15" hidden="false" customHeight="false" outlineLevel="0" collapsed="false">
      <c r="A749" s="35" t="s">
        <v>813</v>
      </c>
      <c r="B749" s="36" t="n">
        <v>46290</v>
      </c>
      <c r="C749" s="36"/>
      <c r="D749" s="35" t="s">
        <v>50</v>
      </c>
      <c r="E749" s="35" t="s">
        <v>33</v>
      </c>
      <c r="F749" s="35" t="s">
        <v>16</v>
      </c>
      <c r="G749" s="35"/>
      <c r="H749" s="37" t="n">
        <f aca="false">IFERROR(VLOOKUP(D749,Settings!$A$5:$C$14,3,FALSE()),"")</f>
        <v>3</v>
      </c>
      <c r="I749" s="37" t="str">
        <f aca="false">IF(C749="","",C749-B749)</f>
        <v/>
      </c>
      <c r="J749" s="38" t="str">
        <f aca="false">IF(I749="","",IF(I749&gt;H749,"Delayed","On Time"))</f>
        <v/>
      </c>
      <c r="K749" s="37" t="str">
        <f aca="false">IF(J749="Delayed",I749-H749,"")</f>
        <v/>
      </c>
    </row>
    <row r="750" customFormat="false" ht="15" hidden="false" customHeight="false" outlineLevel="0" collapsed="false">
      <c r="A750" s="35" t="s">
        <v>814</v>
      </c>
      <c r="B750" s="36" t="n">
        <v>46290</v>
      </c>
      <c r="C750" s="36" t="n">
        <v>46295</v>
      </c>
      <c r="D750" s="35" t="s">
        <v>44</v>
      </c>
      <c r="E750" s="35" t="s">
        <v>35</v>
      </c>
      <c r="F750" s="35" t="s">
        <v>15</v>
      </c>
      <c r="G750" s="35"/>
      <c r="H750" s="37" t="n">
        <f aca="false">IFERROR(VLOOKUP(D750,Settings!$A$5:$C$14,3,FALSE()),"")</f>
        <v>3</v>
      </c>
      <c r="I750" s="37" t="n">
        <f aca="false">IF(C750="","",C750-B750)</f>
        <v>5</v>
      </c>
      <c r="J750" s="38" t="str">
        <f aca="false">IF(I750="","",IF(I750&gt;H750,"Delayed","On Time"))</f>
        <v>Delayed</v>
      </c>
      <c r="K750" s="37" t="n">
        <f aca="false">IF(J750="Delayed",I750-H750,"")</f>
        <v>2</v>
      </c>
    </row>
    <row r="751" customFormat="false" ht="15" hidden="false" customHeight="false" outlineLevel="0" collapsed="false">
      <c r="A751" s="35" t="s">
        <v>815</v>
      </c>
      <c r="B751" s="36" t="n">
        <v>46290</v>
      </c>
      <c r="C751" s="36"/>
      <c r="D751" s="35" t="s">
        <v>52</v>
      </c>
      <c r="E751" s="35" t="s">
        <v>34</v>
      </c>
      <c r="F751" s="35" t="s">
        <v>16</v>
      </c>
      <c r="G751" s="35"/>
      <c r="H751" s="37" t="n">
        <f aca="false">IFERROR(VLOOKUP(D751,Settings!$A$5:$C$14,3,FALSE()),"")</f>
        <v>4</v>
      </c>
      <c r="I751" s="37" t="str">
        <f aca="false">IF(C751="","",C751-B751)</f>
        <v/>
      </c>
      <c r="J751" s="38" t="str">
        <f aca="false">IF(I751="","",IF(I751&gt;H751,"Delayed","On Time"))</f>
        <v/>
      </c>
      <c r="K751" s="37" t="str">
        <f aca="false">IF(J751="Delayed",I751-H751,"")</f>
        <v/>
      </c>
    </row>
    <row r="752" customFormat="false" ht="15" hidden="false" customHeight="false" outlineLevel="0" collapsed="false">
      <c r="A752" s="35" t="s">
        <v>816</v>
      </c>
      <c r="B752" s="36" t="n">
        <v>46290</v>
      </c>
      <c r="C752" s="36"/>
      <c r="D752" s="35" t="s">
        <v>53</v>
      </c>
      <c r="E752" s="35" t="s">
        <v>34</v>
      </c>
      <c r="F752" s="35" t="s">
        <v>16</v>
      </c>
      <c r="G752" s="35"/>
      <c r="H752" s="37" t="n">
        <f aca="false">IFERROR(VLOOKUP(D752,Settings!$A$5:$C$14,3,FALSE()),"")</f>
        <v>5</v>
      </c>
      <c r="I752" s="37" t="str">
        <f aca="false">IF(C752="","",C752-B752)</f>
        <v/>
      </c>
      <c r="J752" s="38" t="str">
        <f aca="false">IF(I752="","",IF(I752&gt;H752,"Delayed","On Time"))</f>
        <v/>
      </c>
      <c r="K752" s="37" t="str">
        <f aca="false">IF(J752="Delayed",I752-H752,"")</f>
        <v/>
      </c>
    </row>
    <row r="753" customFormat="false" ht="15" hidden="false" customHeight="false" outlineLevel="0" collapsed="false">
      <c r="A753" s="35" t="s">
        <v>817</v>
      </c>
      <c r="B753" s="36" t="n">
        <v>46290</v>
      </c>
      <c r="C753" s="36" t="n">
        <v>46295</v>
      </c>
      <c r="D753" s="35" t="s">
        <v>46</v>
      </c>
      <c r="E753" s="35" t="s">
        <v>34</v>
      </c>
      <c r="F753" s="35" t="s">
        <v>15</v>
      </c>
      <c r="G753" s="35"/>
      <c r="H753" s="37" t="n">
        <f aca="false">IFERROR(VLOOKUP(D753,Settings!$A$5:$C$14,3,FALSE()),"")</f>
        <v>3</v>
      </c>
      <c r="I753" s="37" t="n">
        <f aca="false">IF(C753="","",C753-B753)</f>
        <v>5</v>
      </c>
      <c r="J753" s="38" t="str">
        <f aca="false">IF(I753="","",IF(I753&gt;H753,"Delayed","On Time"))</f>
        <v>Delayed</v>
      </c>
      <c r="K753" s="37" t="n">
        <f aca="false">IF(J753="Delayed",I753-H753,"")</f>
        <v>2</v>
      </c>
    </row>
    <row r="754" customFormat="false" ht="15" hidden="false" customHeight="false" outlineLevel="0" collapsed="false">
      <c r="A754" s="35" t="s">
        <v>818</v>
      </c>
      <c r="B754" s="36" t="n">
        <v>46290</v>
      </c>
      <c r="C754" s="36" t="n">
        <v>46295</v>
      </c>
      <c r="D754" s="35" t="s">
        <v>48</v>
      </c>
      <c r="E754" s="35" t="s">
        <v>33</v>
      </c>
      <c r="F754" s="35" t="s">
        <v>15</v>
      </c>
      <c r="G754" s="35"/>
      <c r="H754" s="37" t="n">
        <f aca="false">IFERROR(VLOOKUP(D754,Settings!$A$5:$C$14,3,FALSE()),"")</f>
        <v>3</v>
      </c>
      <c r="I754" s="37" t="n">
        <f aca="false">IF(C754="","",C754-B754)</f>
        <v>5</v>
      </c>
      <c r="J754" s="38" t="str">
        <f aca="false">IF(I754="","",IF(I754&gt;H754,"Delayed","On Time"))</f>
        <v>Delayed</v>
      </c>
      <c r="K754" s="37" t="n">
        <f aca="false">IF(J754="Delayed",I754-H754,"")</f>
        <v>2</v>
      </c>
    </row>
    <row r="755" customFormat="false" ht="15" hidden="false" customHeight="false" outlineLevel="0" collapsed="false">
      <c r="A755" s="35" t="s">
        <v>819</v>
      </c>
      <c r="B755" s="36" t="n">
        <v>46291</v>
      </c>
      <c r="C755" s="36"/>
      <c r="D755" s="35" t="s">
        <v>44</v>
      </c>
      <c r="E755" s="35" t="s">
        <v>34</v>
      </c>
      <c r="F755" s="35" t="s">
        <v>16</v>
      </c>
      <c r="G755" s="35"/>
      <c r="H755" s="37" t="n">
        <f aca="false">IFERROR(VLOOKUP(D755,Settings!$A$5:$C$14,3,FALSE()),"")</f>
        <v>3</v>
      </c>
      <c r="I755" s="37" t="str">
        <f aca="false">IF(C755="","",C755-B755)</f>
        <v/>
      </c>
      <c r="J755" s="38" t="str">
        <f aca="false">IF(I755="","",IF(I755&gt;H755,"Delayed","On Time"))</f>
        <v/>
      </c>
      <c r="K755" s="37" t="str">
        <f aca="false">IF(J755="Delayed",I755-H755,"")</f>
        <v/>
      </c>
    </row>
    <row r="756" customFormat="false" ht="15" hidden="false" customHeight="false" outlineLevel="0" collapsed="false">
      <c r="A756" s="35" t="s">
        <v>820</v>
      </c>
      <c r="B756" s="36" t="n">
        <v>46291</v>
      </c>
      <c r="C756" s="36"/>
      <c r="D756" s="35" t="s">
        <v>53</v>
      </c>
      <c r="E756" s="35" t="s">
        <v>36</v>
      </c>
      <c r="F756" s="35" t="s">
        <v>16</v>
      </c>
      <c r="G756" s="35"/>
      <c r="H756" s="37" t="n">
        <f aca="false">IFERROR(VLOOKUP(D756,Settings!$A$5:$C$14,3,FALSE()),"")</f>
        <v>5</v>
      </c>
      <c r="I756" s="37" t="str">
        <f aca="false">IF(C756="","",C756-B756)</f>
        <v/>
      </c>
      <c r="J756" s="38" t="str">
        <f aca="false">IF(I756="","",IF(I756&gt;H756,"Delayed","On Time"))</f>
        <v/>
      </c>
      <c r="K756" s="37" t="str">
        <f aca="false">IF(J756="Delayed",I756-H756,"")</f>
        <v/>
      </c>
    </row>
    <row r="757" customFormat="false" ht="15" hidden="false" customHeight="false" outlineLevel="0" collapsed="false">
      <c r="A757" s="35" t="s">
        <v>821</v>
      </c>
      <c r="B757" s="36" t="n">
        <v>46291</v>
      </c>
      <c r="C757" s="36"/>
      <c r="D757" s="35" t="s">
        <v>48</v>
      </c>
      <c r="E757" s="35" t="s">
        <v>34</v>
      </c>
      <c r="F757" s="35" t="s">
        <v>16</v>
      </c>
      <c r="G757" s="35"/>
      <c r="H757" s="37" t="n">
        <f aca="false">IFERROR(VLOOKUP(D757,Settings!$A$5:$C$14,3,FALSE()),"")</f>
        <v>3</v>
      </c>
      <c r="I757" s="37" t="str">
        <f aca="false">IF(C757="","",C757-B757)</f>
        <v/>
      </c>
      <c r="J757" s="38" t="str">
        <f aca="false">IF(I757="","",IF(I757&gt;H757,"Delayed","On Time"))</f>
        <v/>
      </c>
      <c r="K757" s="37" t="str">
        <f aca="false">IF(J757="Delayed",I757-H757,"")</f>
        <v/>
      </c>
    </row>
    <row r="758" customFormat="false" ht="15" hidden="false" customHeight="false" outlineLevel="0" collapsed="false">
      <c r="A758" s="35" t="s">
        <v>822</v>
      </c>
      <c r="B758" s="36" t="n">
        <v>46291</v>
      </c>
      <c r="C758" s="36" t="n">
        <v>46295</v>
      </c>
      <c r="D758" s="35" t="s">
        <v>55</v>
      </c>
      <c r="E758" s="35" t="s">
        <v>34</v>
      </c>
      <c r="F758" s="35" t="s">
        <v>15</v>
      </c>
      <c r="G758" s="35"/>
      <c r="H758" s="37" t="n">
        <f aca="false">IFERROR(VLOOKUP(D758,Settings!$A$5:$C$14,3,FALSE()),"")</f>
        <v>5</v>
      </c>
      <c r="I758" s="37" t="n">
        <f aca="false">IF(C758="","",C758-B758)</f>
        <v>4</v>
      </c>
      <c r="J758" s="38" t="str">
        <f aca="false">IF(I758="","",IF(I758&gt;H758,"Delayed","On Time"))</f>
        <v>On Time</v>
      </c>
      <c r="K758" s="37" t="str">
        <f aca="false">IF(J758="Delayed",I758-H758,"")</f>
        <v/>
      </c>
    </row>
    <row r="759" customFormat="false" ht="15" hidden="false" customHeight="false" outlineLevel="0" collapsed="false">
      <c r="A759" s="35" t="s">
        <v>823</v>
      </c>
      <c r="B759" s="36" t="n">
        <v>46291</v>
      </c>
      <c r="C759" s="36"/>
      <c r="D759" s="35" t="s">
        <v>48</v>
      </c>
      <c r="E759" s="35" t="s">
        <v>36</v>
      </c>
      <c r="F759" s="35" t="s">
        <v>16</v>
      </c>
      <c r="G759" s="35"/>
      <c r="H759" s="37" t="n">
        <f aca="false">IFERROR(VLOOKUP(D759,Settings!$A$5:$C$14,3,FALSE()),"")</f>
        <v>3</v>
      </c>
      <c r="I759" s="37" t="str">
        <f aca="false">IF(C759="","",C759-B759)</f>
        <v/>
      </c>
      <c r="J759" s="38" t="str">
        <f aca="false">IF(I759="","",IF(I759&gt;H759,"Delayed","On Time"))</f>
        <v/>
      </c>
      <c r="K759" s="37" t="str">
        <f aca="false">IF(J759="Delayed",I759-H759,"")</f>
        <v/>
      </c>
    </row>
    <row r="760" customFormat="false" ht="15" hidden="false" customHeight="false" outlineLevel="0" collapsed="false">
      <c r="A760" s="35" t="s">
        <v>824</v>
      </c>
      <c r="B760" s="36" t="n">
        <v>46291</v>
      </c>
      <c r="C760" s="36"/>
      <c r="D760" s="35" t="s">
        <v>48</v>
      </c>
      <c r="E760" s="35" t="s">
        <v>33</v>
      </c>
      <c r="F760" s="35" t="s">
        <v>16</v>
      </c>
      <c r="G760" s="35"/>
      <c r="H760" s="37" t="n">
        <f aca="false">IFERROR(VLOOKUP(D760,Settings!$A$5:$C$14,3,FALSE()),"")</f>
        <v>3</v>
      </c>
      <c r="I760" s="37" t="str">
        <f aca="false">IF(C760="","",C760-B760)</f>
        <v/>
      </c>
      <c r="J760" s="38" t="str">
        <f aca="false">IF(I760="","",IF(I760&gt;H760,"Delayed","On Time"))</f>
        <v/>
      </c>
      <c r="K760" s="37" t="str">
        <f aca="false">IF(J760="Delayed",I760-H760,"")</f>
        <v/>
      </c>
    </row>
    <row r="761" customFormat="false" ht="15" hidden="false" customHeight="false" outlineLevel="0" collapsed="false">
      <c r="A761" s="35" t="s">
        <v>825</v>
      </c>
      <c r="B761" s="36" t="n">
        <v>46291</v>
      </c>
      <c r="C761" s="36"/>
      <c r="D761" s="35" t="s">
        <v>44</v>
      </c>
      <c r="E761" s="35" t="s">
        <v>35</v>
      </c>
      <c r="F761" s="35" t="s">
        <v>16</v>
      </c>
      <c r="G761" s="35"/>
      <c r="H761" s="37" t="n">
        <f aca="false">IFERROR(VLOOKUP(D761,Settings!$A$5:$C$14,3,FALSE()),"")</f>
        <v>3</v>
      </c>
      <c r="I761" s="37" t="str">
        <f aca="false">IF(C761="","",C761-B761)</f>
        <v/>
      </c>
      <c r="J761" s="38" t="str">
        <f aca="false">IF(I761="","",IF(I761&gt;H761,"Delayed","On Time"))</f>
        <v/>
      </c>
      <c r="K761" s="37" t="str">
        <f aca="false">IF(J761="Delayed",I761-H761,"")</f>
        <v/>
      </c>
    </row>
    <row r="762" customFormat="false" ht="15" hidden="false" customHeight="false" outlineLevel="0" collapsed="false">
      <c r="A762" s="35" t="s">
        <v>826</v>
      </c>
      <c r="B762" s="36" t="n">
        <v>46291</v>
      </c>
      <c r="C762" s="36"/>
      <c r="D762" s="35" t="s">
        <v>50</v>
      </c>
      <c r="E762" s="35" t="s">
        <v>36</v>
      </c>
      <c r="F762" s="35" t="s">
        <v>16</v>
      </c>
      <c r="G762" s="35"/>
      <c r="H762" s="37" t="n">
        <f aca="false">IFERROR(VLOOKUP(D762,Settings!$A$5:$C$14,3,FALSE()),"")</f>
        <v>3</v>
      </c>
      <c r="I762" s="37" t="str">
        <f aca="false">IF(C762="","",C762-B762)</f>
        <v/>
      </c>
      <c r="J762" s="38" t="str">
        <f aca="false">IF(I762="","",IF(I762&gt;H762,"Delayed","On Time"))</f>
        <v/>
      </c>
      <c r="K762" s="37" t="str">
        <f aca="false">IF(J762="Delayed",I762-H762,"")</f>
        <v/>
      </c>
    </row>
    <row r="763" customFormat="false" ht="15" hidden="false" customHeight="false" outlineLevel="0" collapsed="false">
      <c r="A763" s="35" t="s">
        <v>827</v>
      </c>
      <c r="B763" s="36" t="n">
        <v>46291</v>
      </c>
      <c r="C763" s="36" t="n">
        <v>46295</v>
      </c>
      <c r="D763" s="35" t="s">
        <v>46</v>
      </c>
      <c r="E763" s="35" t="s">
        <v>35</v>
      </c>
      <c r="F763" s="35" t="s">
        <v>15</v>
      </c>
      <c r="G763" s="35"/>
      <c r="H763" s="37" t="n">
        <f aca="false">IFERROR(VLOOKUP(D763,Settings!$A$5:$C$14,3,FALSE()),"")</f>
        <v>3</v>
      </c>
      <c r="I763" s="37" t="n">
        <f aca="false">IF(C763="","",C763-B763)</f>
        <v>4</v>
      </c>
      <c r="J763" s="38" t="str">
        <f aca="false">IF(I763="","",IF(I763&gt;H763,"Delayed","On Time"))</f>
        <v>Delayed</v>
      </c>
      <c r="K763" s="37" t="n">
        <f aca="false">IF(J763="Delayed",I763-H763,"")</f>
        <v>1</v>
      </c>
    </row>
    <row r="764" customFormat="false" ht="15" hidden="false" customHeight="false" outlineLevel="0" collapsed="false">
      <c r="A764" s="35" t="s">
        <v>828</v>
      </c>
      <c r="B764" s="36" t="n">
        <v>46291</v>
      </c>
      <c r="C764" s="36" t="n">
        <v>46295</v>
      </c>
      <c r="D764" s="35" t="s">
        <v>48</v>
      </c>
      <c r="E764" s="35" t="s">
        <v>33</v>
      </c>
      <c r="F764" s="35" t="s">
        <v>15</v>
      </c>
      <c r="G764" s="35"/>
      <c r="H764" s="37" t="n">
        <f aca="false">IFERROR(VLOOKUP(D764,Settings!$A$5:$C$14,3,FALSE()),"")</f>
        <v>3</v>
      </c>
      <c r="I764" s="37" t="n">
        <f aca="false">IF(C764="","",C764-B764)</f>
        <v>4</v>
      </c>
      <c r="J764" s="38" t="str">
        <f aca="false">IF(I764="","",IF(I764&gt;H764,"Delayed","On Time"))</f>
        <v>Delayed</v>
      </c>
      <c r="K764" s="37" t="n">
        <f aca="false">IF(J764="Delayed",I764-H764,"")</f>
        <v>1</v>
      </c>
    </row>
    <row r="765" customFormat="false" ht="15" hidden="false" customHeight="false" outlineLevel="0" collapsed="false">
      <c r="A765" s="35" t="s">
        <v>829</v>
      </c>
      <c r="B765" s="36" t="n">
        <v>46291</v>
      </c>
      <c r="C765" s="36"/>
      <c r="D765" s="35" t="s">
        <v>54</v>
      </c>
      <c r="E765" s="35" t="s">
        <v>33</v>
      </c>
      <c r="F765" s="35" t="s">
        <v>16</v>
      </c>
      <c r="G765" s="35"/>
      <c r="H765" s="37" t="n">
        <f aca="false">IFERROR(VLOOKUP(D765,Settings!$A$5:$C$14,3,FALSE()),"")</f>
        <v>5</v>
      </c>
      <c r="I765" s="37" t="str">
        <f aca="false">IF(C765="","",C765-B765)</f>
        <v/>
      </c>
      <c r="J765" s="38" t="str">
        <f aca="false">IF(I765="","",IF(I765&gt;H765,"Delayed","On Time"))</f>
        <v/>
      </c>
      <c r="K765" s="37" t="str">
        <f aca="false">IF(J765="Delayed",I765-H765,"")</f>
        <v/>
      </c>
    </row>
    <row r="766" customFormat="false" ht="15" hidden="false" customHeight="false" outlineLevel="0" collapsed="false">
      <c r="A766" s="35" t="s">
        <v>830</v>
      </c>
      <c r="B766" s="36" t="n">
        <v>46291</v>
      </c>
      <c r="C766" s="36" t="n">
        <v>46294</v>
      </c>
      <c r="D766" s="35" t="s">
        <v>52</v>
      </c>
      <c r="E766" s="35" t="s">
        <v>35</v>
      </c>
      <c r="F766" s="35" t="s">
        <v>15</v>
      </c>
      <c r="G766" s="35"/>
      <c r="H766" s="37" t="n">
        <f aca="false">IFERROR(VLOOKUP(D766,Settings!$A$5:$C$14,3,FALSE()),"")</f>
        <v>4</v>
      </c>
      <c r="I766" s="37" t="n">
        <f aca="false">IF(C766="","",C766-B766)</f>
        <v>3</v>
      </c>
      <c r="J766" s="38" t="str">
        <f aca="false">IF(I766="","",IF(I766&gt;H766,"Delayed","On Time"))</f>
        <v>On Time</v>
      </c>
      <c r="K766" s="37" t="str">
        <f aca="false">IF(J766="Delayed",I766-H766,"")</f>
        <v/>
      </c>
    </row>
    <row r="767" customFormat="false" ht="15" hidden="false" customHeight="false" outlineLevel="0" collapsed="false">
      <c r="A767" s="35" t="s">
        <v>831</v>
      </c>
      <c r="B767" s="36" t="n">
        <v>46291</v>
      </c>
      <c r="C767" s="36"/>
      <c r="D767" s="35" t="s">
        <v>44</v>
      </c>
      <c r="E767" s="35" t="s">
        <v>36</v>
      </c>
      <c r="F767" s="35" t="s">
        <v>16</v>
      </c>
      <c r="G767" s="35"/>
      <c r="H767" s="37" t="n">
        <f aca="false">IFERROR(VLOOKUP(D767,Settings!$A$5:$C$14,3,FALSE()),"")</f>
        <v>3</v>
      </c>
      <c r="I767" s="37" t="str">
        <f aca="false">IF(C767="","",C767-B767)</f>
        <v/>
      </c>
      <c r="J767" s="38" t="str">
        <f aca="false">IF(I767="","",IF(I767&gt;H767,"Delayed","On Time"))</f>
        <v/>
      </c>
      <c r="K767" s="37" t="str">
        <f aca="false">IF(J767="Delayed",I767-H767,"")</f>
        <v/>
      </c>
    </row>
    <row r="768" customFormat="false" ht="15" hidden="false" customHeight="false" outlineLevel="0" collapsed="false">
      <c r="A768" s="35" t="s">
        <v>832</v>
      </c>
      <c r="B768" s="36" t="n">
        <v>46291</v>
      </c>
      <c r="C768" s="36" t="n">
        <v>46293</v>
      </c>
      <c r="D768" s="35" t="s">
        <v>44</v>
      </c>
      <c r="E768" s="35" t="s">
        <v>36</v>
      </c>
      <c r="F768" s="35" t="s">
        <v>15</v>
      </c>
      <c r="G768" s="35"/>
      <c r="H768" s="37" t="n">
        <f aca="false">IFERROR(VLOOKUP(D768,Settings!$A$5:$C$14,3,FALSE()),"")</f>
        <v>3</v>
      </c>
      <c r="I768" s="37" t="n">
        <f aca="false">IF(C768="","",C768-B768)</f>
        <v>2</v>
      </c>
      <c r="J768" s="38" t="str">
        <f aca="false">IF(I768="","",IF(I768&gt;H768,"Delayed","On Time"))</f>
        <v>On Time</v>
      </c>
      <c r="K768" s="37" t="str">
        <f aca="false">IF(J768="Delayed",I768-H768,"")</f>
        <v/>
      </c>
    </row>
    <row r="769" customFormat="false" ht="15" hidden="false" customHeight="false" outlineLevel="0" collapsed="false">
      <c r="A769" s="35" t="s">
        <v>833</v>
      </c>
      <c r="B769" s="36" t="n">
        <v>46291</v>
      </c>
      <c r="C769" s="36"/>
      <c r="D769" s="35" t="s">
        <v>44</v>
      </c>
      <c r="E769" s="35" t="s">
        <v>36</v>
      </c>
      <c r="F769" s="35" t="s">
        <v>16</v>
      </c>
      <c r="G769" s="35"/>
      <c r="H769" s="37" t="n">
        <f aca="false">IFERROR(VLOOKUP(D769,Settings!$A$5:$C$14,3,FALSE()),"")</f>
        <v>3</v>
      </c>
      <c r="I769" s="37" t="str">
        <f aca="false">IF(C769="","",C769-B769)</f>
        <v/>
      </c>
      <c r="J769" s="38" t="str">
        <f aca="false">IF(I769="","",IF(I769&gt;H769,"Delayed","On Time"))</f>
        <v/>
      </c>
      <c r="K769" s="37" t="str">
        <f aca="false">IF(J769="Delayed",I769-H769,"")</f>
        <v/>
      </c>
    </row>
    <row r="770" customFormat="false" ht="15" hidden="false" customHeight="false" outlineLevel="0" collapsed="false">
      <c r="A770" s="35" t="s">
        <v>834</v>
      </c>
      <c r="B770" s="36" t="n">
        <v>46292</v>
      </c>
      <c r="C770" s="36" t="n">
        <v>46294</v>
      </c>
      <c r="D770" s="35" t="s">
        <v>48</v>
      </c>
      <c r="E770" s="35" t="s">
        <v>33</v>
      </c>
      <c r="F770" s="35" t="s">
        <v>15</v>
      </c>
      <c r="G770" s="35"/>
      <c r="H770" s="37" t="n">
        <f aca="false">IFERROR(VLOOKUP(D770,Settings!$A$5:$C$14,3,FALSE()),"")</f>
        <v>3</v>
      </c>
      <c r="I770" s="37" t="n">
        <f aca="false">IF(C770="","",C770-B770)</f>
        <v>2</v>
      </c>
      <c r="J770" s="38" t="str">
        <f aca="false">IF(I770="","",IF(I770&gt;H770,"Delayed","On Time"))</f>
        <v>On Time</v>
      </c>
      <c r="K770" s="37" t="str">
        <f aca="false">IF(J770="Delayed",I770-H770,"")</f>
        <v/>
      </c>
    </row>
    <row r="771" customFormat="false" ht="15" hidden="false" customHeight="false" outlineLevel="0" collapsed="false">
      <c r="A771" s="35" t="s">
        <v>835</v>
      </c>
      <c r="B771" s="36" t="n">
        <v>46292</v>
      </c>
      <c r="C771" s="36"/>
      <c r="D771" s="35" t="s">
        <v>50</v>
      </c>
      <c r="E771" s="35" t="s">
        <v>33</v>
      </c>
      <c r="F771" s="35" t="s">
        <v>16</v>
      </c>
      <c r="G771" s="35"/>
      <c r="H771" s="37" t="n">
        <f aca="false">IFERROR(VLOOKUP(D771,Settings!$A$5:$C$14,3,FALSE()),"")</f>
        <v>3</v>
      </c>
      <c r="I771" s="37" t="str">
        <f aca="false">IF(C771="","",C771-B771)</f>
        <v/>
      </c>
      <c r="J771" s="38" t="str">
        <f aca="false">IF(I771="","",IF(I771&gt;H771,"Delayed","On Time"))</f>
        <v/>
      </c>
      <c r="K771" s="37" t="str">
        <f aca="false">IF(J771="Delayed",I771-H771,"")</f>
        <v/>
      </c>
    </row>
    <row r="772" customFormat="false" ht="15" hidden="false" customHeight="false" outlineLevel="0" collapsed="false">
      <c r="A772" s="35" t="s">
        <v>836</v>
      </c>
      <c r="B772" s="36" t="n">
        <v>46292</v>
      </c>
      <c r="C772" s="36"/>
      <c r="D772" s="35" t="s">
        <v>44</v>
      </c>
      <c r="E772" s="35" t="s">
        <v>34</v>
      </c>
      <c r="F772" s="35" t="s">
        <v>16</v>
      </c>
      <c r="G772" s="35"/>
      <c r="H772" s="37" t="n">
        <f aca="false">IFERROR(VLOOKUP(D772,Settings!$A$5:$C$14,3,FALSE()),"")</f>
        <v>3</v>
      </c>
      <c r="I772" s="37" t="str">
        <f aca="false">IF(C772="","",C772-B772)</f>
        <v/>
      </c>
      <c r="J772" s="38" t="str">
        <f aca="false">IF(I772="","",IF(I772&gt;H772,"Delayed","On Time"))</f>
        <v/>
      </c>
      <c r="K772" s="37" t="str">
        <f aca="false">IF(J772="Delayed",I772-H772,"")</f>
        <v/>
      </c>
    </row>
    <row r="773" customFormat="false" ht="15" hidden="false" customHeight="false" outlineLevel="0" collapsed="false">
      <c r="A773" s="35" t="s">
        <v>837</v>
      </c>
      <c r="B773" s="36" t="n">
        <v>46292</v>
      </c>
      <c r="C773" s="36"/>
      <c r="D773" s="35" t="s">
        <v>44</v>
      </c>
      <c r="E773" s="35" t="s">
        <v>36</v>
      </c>
      <c r="F773" s="35" t="s">
        <v>16</v>
      </c>
      <c r="G773" s="35"/>
      <c r="H773" s="37" t="n">
        <f aca="false">IFERROR(VLOOKUP(D773,Settings!$A$5:$C$14,3,FALSE()),"")</f>
        <v>3</v>
      </c>
      <c r="I773" s="37" t="str">
        <f aca="false">IF(C773="","",C773-B773)</f>
        <v/>
      </c>
      <c r="J773" s="38" t="str">
        <f aca="false">IF(I773="","",IF(I773&gt;H773,"Delayed","On Time"))</f>
        <v/>
      </c>
      <c r="K773" s="37" t="str">
        <f aca="false">IF(J773="Delayed",I773-H773,"")</f>
        <v/>
      </c>
    </row>
    <row r="774" customFormat="false" ht="15" hidden="false" customHeight="false" outlineLevel="0" collapsed="false">
      <c r="A774" s="35" t="s">
        <v>838</v>
      </c>
      <c r="B774" s="36" t="n">
        <v>46292</v>
      </c>
      <c r="C774" s="36"/>
      <c r="D774" s="35" t="s">
        <v>44</v>
      </c>
      <c r="E774" s="35" t="s">
        <v>34</v>
      </c>
      <c r="F774" s="35" t="s">
        <v>16</v>
      </c>
      <c r="G774" s="35"/>
      <c r="H774" s="37" t="n">
        <f aca="false">IFERROR(VLOOKUP(D774,Settings!$A$5:$C$14,3,FALSE()),"")</f>
        <v>3</v>
      </c>
      <c r="I774" s="37" t="str">
        <f aca="false">IF(C774="","",C774-B774)</f>
        <v/>
      </c>
      <c r="J774" s="38" t="str">
        <f aca="false">IF(I774="","",IF(I774&gt;H774,"Delayed","On Time"))</f>
        <v/>
      </c>
      <c r="K774" s="37" t="str">
        <f aca="false">IF(J774="Delayed",I774-H774,"")</f>
        <v/>
      </c>
    </row>
    <row r="775" customFormat="false" ht="15" hidden="false" customHeight="false" outlineLevel="0" collapsed="false">
      <c r="A775" s="35" t="s">
        <v>839</v>
      </c>
      <c r="B775" s="36" t="n">
        <v>46293</v>
      </c>
      <c r="C775" s="36"/>
      <c r="D775" s="35" t="s">
        <v>46</v>
      </c>
      <c r="E775" s="35" t="s">
        <v>36</v>
      </c>
      <c r="F775" s="35" t="s">
        <v>16</v>
      </c>
      <c r="G775" s="35"/>
      <c r="H775" s="37" t="n">
        <f aca="false">IFERROR(VLOOKUP(D775,Settings!$A$5:$C$14,3,FALSE()),"")</f>
        <v>3</v>
      </c>
      <c r="I775" s="37" t="str">
        <f aca="false">IF(C775="","",C775-B775)</f>
        <v/>
      </c>
      <c r="J775" s="38" t="str">
        <f aca="false">IF(I775="","",IF(I775&gt;H775,"Delayed","On Time"))</f>
        <v/>
      </c>
      <c r="K775" s="37" t="str">
        <f aca="false">IF(J775="Delayed",I775-H775,"")</f>
        <v/>
      </c>
    </row>
    <row r="776" customFormat="false" ht="15" hidden="false" customHeight="false" outlineLevel="0" collapsed="false">
      <c r="A776" s="35" t="s">
        <v>840</v>
      </c>
      <c r="B776" s="36" t="n">
        <v>46293</v>
      </c>
      <c r="C776" s="36" t="n">
        <v>46295</v>
      </c>
      <c r="D776" s="35" t="s">
        <v>53</v>
      </c>
      <c r="E776" s="35" t="s">
        <v>34</v>
      </c>
      <c r="F776" s="35" t="s">
        <v>15</v>
      </c>
      <c r="G776" s="35"/>
      <c r="H776" s="37" t="n">
        <f aca="false">IFERROR(VLOOKUP(D776,Settings!$A$5:$C$14,3,FALSE()),"")</f>
        <v>5</v>
      </c>
      <c r="I776" s="37" t="n">
        <f aca="false">IF(C776="","",C776-B776)</f>
        <v>2</v>
      </c>
      <c r="J776" s="38" t="str">
        <f aca="false">IF(I776="","",IF(I776&gt;H776,"Delayed","On Time"))</f>
        <v>On Time</v>
      </c>
      <c r="K776" s="37" t="str">
        <f aca="false">IF(J776="Delayed",I776-H776,"")</f>
        <v/>
      </c>
    </row>
    <row r="777" customFormat="false" ht="15" hidden="false" customHeight="false" outlineLevel="0" collapsed="false">
      <c r="A777" s="35" t="s">
        <v>841</v>
      </c>
      <c r="B777" s="36" t="n">
        <v>46293</v>
      </c>
      <c r="C777" s="36"/>
      <c r="D777" s="35" t="s">
        <v>50</v>
      </c>
      <c r="E777" s="35" t="s">
        <v>33</v>
      </c>
      <c r="F777" s="35" t="s">
        <v>16</v>
      </c>
      <c r="G777" s="35"/>
      <c r="H777" s="37" t="n">
        <f aca="false">IFERROR(VLOOKUP(D777,Settings!$A$5:$C$14,3,FALSE()),"")</f>
        <v>3</v>
      </c>
      <c r="I777" s="37" t="str">
        <f aca="false">IF(C777="","",C777-B777)</f>
        <v/>
      </c>
      <c r="J777" s="38" t="str">
        <f aca="false">IF(I777="","",IF(I777&gt;H777,"Delayed","On Time"))</f>
        <v/>
      </c>
      <c r="K777" s="37" t="str">
        <f aca="false">IF(J777="Delayed",I777-H777,"")</f>
        <v/>
      </c>
    </row>
    <row r="778" customFormat="false" ht="15" hidden="false" customHeight="false" outlineLevel="0" collapsed="false">
      <c r="A778" s="35" t="s">
        <v>842</v>
      </c>
      <c r="B778" s="36" t="n">
        <v>46293</v>
      </c>
      <c r="C778" s="36" t="n">
        <v>46295</v>
      </c>
      <c r="D778" s="35" t="s">
        <v>44</v>
      </c>
      <c r="E778" s="35" t="s">
        <v>33</v>
      </c>
      <c r="F778" s="35" t="s">
        <v>15</v>
      </c>
      <c r="G778" s="35"/>
      <c r="H778" s="37" t="n">
        <f aca="false">IFERROR(VLOOKUP(D778,Settings!$A$5:$C$14,3,FALSE()),"")</f>
        <v>3</v>
      </c>
      <c r="I778" s="37" t="n">
        <f aca="false">IF(C778="","",C778-B778)</f>
        <v>2</v>
      </c>
      <c r="J778" s="38" t="str">
        <f aca="false">IF(I778="","",IF(I778&gt;H778,"Delayed","On Time"))</f>
        <v>On Time</v>
      </c>
      <c r="K778" s="37" t="str">
        <f aca="false">IF(J778="Delayed",I778-H778,"")</f>
        <v/>
      </c>
    </row>
    <row r="779" customFormat="false" ht="15" hidden="false" customHeight="false" outlineLevel="0" collapsed="false">
      <c r="A779" s="35" t="s">
        <v>843</v>
      </c>
      <c r="B779" s="36" t="n">
        <v>46293</v>
      </c>
      <c r="C779" s="36"/>
      <c r="D779" s="35" t="s">
        <v>48</v>
      </c>
      <c r="E779" s="35" t="s">
        <v>34</v>
      </c>
      <c r="F779" s="35" t="s">
        <v>16</v>
      </c>
      <c r="G779" s="35"/>
      <c r="H779" s="37" t="n">
        <f aca="false">IFERROR(VLOOKUP(D779,Settings!$A$5:$C$14,3,FALSE()),"")</f>
        <v>3</v>
      </c>
      <c r="I779" s="37" t="str">
        <f aca="false">IF(C779="","",C779-B779)</f>
        <v/>
      </c>
      <c r="J779" s="38" t="str">
        <f aca="false">IF(I779="","",IF(I779&gt;H779,"Delayed","On Time"))</f>
        <v/>
      </c>
      <c r="K779" s="37" t="str">
        <f aca="false">IF(J779="Delayed",I779-H779,"")</f>
        <v/>
      </c>
    </row>
    <row r="780" customFormat="false" ht="15" hidden="false" customHeight="false" outlineLevel="0" collapsed="false">
      <c r="A780" s="35" t="s">
        <v>844</v>
      </c>
      <c r="B780" s="36" t="n">
        <v>46293</v>
      </c>
      <c r="C780" s="36"/>
      <c r="D780" s="35" t="s">
        <v>53</v>
      </c>
      <c r="E780" s="35" t="s">
        <v>35</v>
      </c>
      <c r="F780" s="35" t="s">
        <v>18</v>
      </c>
      <c r="G780" s="35" t="s">
        <v>47</v>
      </c>
      <c r="H780" s="37" t="n">
        <f aca="false">IFERROR(VLOOKUP(D780,Settings!$A$5:$C$14,3,FALSE()),"")</f>
        <v>5</v>
      </c>
      <c r="I780" s="37" t="str">
        <f aca="false">IF(C780="","",C780-B780)</f>
        <v/>
      </c>
      <c r="J780" s="38" t="str">
        <f aca="false">IF(I780="","",IF(I780&gt;H780,"Delayed","On Time"))</f>
        <v/>
      </c>
      <c r="K780" s="37" t="str">
        <f aca="false">IF(J780="Delayed",I780-H780,"")</f>
        <v/>
      </c>
    </row>
    <row r="781" customFormat="false" ht="15" hidden="false" customHeight="false" outlineLevel="0" collapsed="false">
      <c r="A781" s="35" t="s">
        <v>845</v>
      </c>
      <c r="B781" s="36" t="n">
        <v>46293</v>
      </c>
      <c r="C781" s="36" t="n">
        <v>46295</v>
      </c>
      <c r="D781" s="35" t="s">
        <v>50</v>
      </c>
      <c r="E781" s="35" t="s">
        <v>36</v>
      </c>
      <c r="F781" s="35" t="s">
        <v>17</v>
      </c>
      <c r="G781" s="35" t="s">
        <v>43</v>
      </c>
      <c r="H781" s="37" t="n">
        <f aca="false">IFERROR(VLOOKUP(D781,Settings!$A$5:$C$14,3,FALSE()),"")</f>
        <v>3</v>
      </c>
      <c r="I781" s="37" t="n">
        <f aca="false">IF(C781="","",C781-B781)</f>
        <v>2</v>
      </c>
      <c r="J781" s="38" t="str">
        <f aca="false">IF(I781="","",IF(I781&gt;H781,"Delayed","On Time"))</f>
        <v>On Time</v>
      </c>
      <c r="K781" s="37" t="str">
        <f aca="false">IF(J781="Delayed",I781-H781,"")</f>
        <v/>
      </c>
    </row>
    <row r="782" customFormat="false" ht="15" hidden="false" customHeight="false" outlineLevel="0" collapsed="false">
      <c r="A782" s="35" t="s">
        <v>846</v>
      </c>
      <c r="B782" s="36" t="n">
        <v>46293</v>
      </c>
      <c r="C782" s="36" t="n">
        <v>46295</v>
      </c>
      <c r="D782" s="35" t="s">
        <v>56</v>
      </c>
      <c r="E782" s="35" t="s">
        <v>34</v>
      </c>
      <c r="F782" s="35" t="s">
        <v>15</v>
      </c>
      <c r="G782" s="35"/>
      <c r="H782" s="37" t="n">
        <f aca="false">IFERROR(VLOOKUP(D782,Settings!$A$5:$C$14,3,FALSE()),"")</f>
        <v>6</v>
      </c>
      <c r="I782" s="37" t="n">
        <f aca="false">IF(C782="","",C782-B782)</f>
        <v>2</v>
      </c>
      <c r="J782" s="38" t="str">
        <f aca="false">IF(I782="","",IF(I782&gt;H782,"Delayed","On Time"))</f>
        <v>On Time</v>
      </c>
      <c r="K782" s="37" t="str">
        <f aca="false">IF(J782="Delayed",I782-H782,"")</f>
        <v/>
      </c>
    </row>
    <row r="783" customFormat="false" ht="15" hidden="false" customHeight="false" outlineLevel="0" collapsed="false">
      <c r="A783" s="35" t="s">
        <v>847</v>
      </c>
      <c r="B783" s="36" t="n">
        <v>46294</v>
      </c>
      <c r="C783" s="36"/>
      <c r="D783" s="35" t="s">
        <v>44</v>
      </c>
      <c r="E783" s="35" t="s">
        <v>35</v>
      </c>
      <c r="F783" s="35" t="s">
        <v>16</v>
      </c>
      <c r="G783" s="35"/>
      <c r="H783" s="37" t="n">
        <f aca="false">IFERROR(VLOOKUP(D783,Settings!$A$5:$C$14,3,FALSE()),"")</f>
        <v>3</v>
      </c>
      <c r="I783" s="37" t="str">
        <f aca="false">IF(C783="","",C783-B783)</f>
        <v/>
      </c>
      <c r="J783" s="38" t="str">
        <f aca="false">IF(I783="","",IF(I783&gt;H783,"Delayed","On Time"))</f>
        <v/>
      </c>
      <c r="K783" s="37" t="str">
        <f aca="false">IF(J783="Delayed",I783-H783,"")</f>
        <v/>
      </c>
    </row>
    <row r="784" customFormat="false" ht="15" hidden="false" customHeight="false" outlineLevel="0" collapsed="false">
      <c r="A784" s="35" t="s">
        <v>848</v>
      </c>
      <c r="B784" s="36" t="n">
        <v>46294</v>
      </c>
      <c r="C784" s="36" t="n">
        <v>46295</v>
      </c>
      <c r="D784" s="35" t="s">
        <v>50</v>
      </c>
      <c r="E784" s="35" t="s">
        <v>33</v>
      </c>
      <c r="F784" s="35" t="s">
        <v>15</v>
      </c>
      <c r="G784" s="35"/>
      <c r="H784" s="37" t="n">
        <f aca="false">IFERROR(VLOOKUP(D784,Settings!$A$5:$C$14,3,FALSE()),"")</f>
        <v>3</v>
      </c>
      <c r="I784" s="37" t="n">
        <f aca="false">IF(C784="","",C784-B784)</f>
        <v>1</v>
      </c>
      <c r="J784" s="38" t="str">
        <f aca="false">IF(I784="","",IF(I784&gt;H784,"Delayed","On Time"))</f>
        <v>On Time</v>
      </c>
      <c r="K784" s="37" t="str">
        <f aca="false">IF(J784="Delayed",I784-H784,"")</f>
        <v/>
      </c>
    </row>
    <row r="785" customFormat="false" ht="15" hidden="false" customHeight="false" outlineLevel="0" collapsed="false">
      <c r="A785" s="35" t="s">
        <v>849</v>
      </c>
      <c r="B785" s="36" t="n">
        <v>46294</v>
      </c>
      <c r="C785" s="36"/>
      <c r="D785" s="35" t="s">
        <v>44</v>
      </c>
      <c r="E785" s="35" t="s">
        <v>34</v>
      </c>
      <c r="F785" s="35" t="s">
        <v>16</v>
      </c>
      <c r="G785" s="35"/>
      <c r="H785" s="37" t="n">
        <f aca="false">IFERROR(VLOOKUP(D785,Settings!$A$5:$C$14,3,FALSE()),"")</f>
        <v>3</v>
      </c>
      <c r="I785" s="37" t="str">
        <f aca="false">IF(C785="","",C785-B785)</f>
        <v/>
      </c>
      <c r="J785" s="38" t="str">
        <f aca="false">IF(I785="","",IF(I785&gt;H785,"Delayed","On Time"))</f>
        <v/>
      </c>
      <c r="K785" s="37" t="str">
        <f aca="false">IF(J785="Delayed",I785-H785,"")</f>
        <v/>
      </c>
    </row>
    <row r="786" customFormat="false" ht="15" hidden="false" customHeight="false" outlineLevel="0" collapsed="false">
      <c r="A786" s="35" t="s">
        <v>850</v>
      </c>
      <c r="B786" s="36" t="n">
        <v>46294</v>
      </c>
      <c r="C786" s="36"/>
      <c r="D786" s="35" t="s">
        <v>46</v>
      </c>
      <c r="E786" s="35" t="s">
        <v>36</v>
      </c>
      <c r="F786" s="35" t="s">
        <v>16</v>
      </c>
      <c r="G786" s="35"/>
      <c r="H786" s="37" t="n">
        <f aca="false">IFERROR(VLOOKUP(D786,Settings!$A$5:$C$14,3,FALSE()),"")</f>
        <v>3</v>
      </c>
      <c r="I786" s="37" t="str">
        <f aca="false">IF(C786="","",C786-B786)</f>
        <v/>
      </c>
      <c r="J786" s="38" t="str">
        <f aca="false">IF(I786="","",IF(I786&gt;H786,"Delayed","On Time"))</f>
        <v/>
      </c>
      <c r="K786" s="37" t="str">
        <f aca="false">IF(J786="Delayed",I786-H786,"")</f>
        <v/>
      </c>
    </row>
    <row r="787" customFormat="false" ht="15" hidden="false" customHeight="false" outlineLevel="0" collapsed="false">
      <c r="A787" s="35" t="s">
        <v>851</v>
      </c>
      <c r="B787" s="36" t="n">
        <v>46294</v>
      </c>
      <c r="C787" s="36" t="n">
        <v>46295</v>
      </c>
      <c r="D787" s="35" t="s">
        <v>46</v>
      </c>
      <c r="E787" s="35" t="s">
        <v>35</v>
      </c>
      <c r="F787" s="35" t="s">
        <v>15</v>
      </c>
      <c r="G787" s="35"/>
      <c r="H787" s="37" t="n">
        <f aca="false">IFERROR(VLOOKUP(D787,Settings!$A$5:$C$14,3,FALSE()),"")</f>
        <v>3</v>
      </c>
      <c r="I787" s="37" t="n">
        <f aca="false">IF(C787="","",C787-B787)</f>
        <v>1</v>
      </c>
      <c r="J787" s="38" t="str">
        <f aca="false">IF(I787="","",IF(I787&gt;H787,"Delayed","On Time"))</f>
        <v>On Time</v>
      </c>
      <c r="K787" s="37" t="str">
        <f aca="false">IF(J787="Delayed",I787-H787,"")</f>
        <v/>
      </c>
    </row>
    <row r="788" customFormat="false" ht="15" hidden="false" customHeight="false" outlineLevel="0" collapsed="false">
      <c r="A788" s="35" t="s">
        <v>852</v>
      </c>
      <c r="B788" s="36" t="n">
        <v>46294</v>
      </c>
      <c r="C788" s="36" t="n">
        <v>46295</v>
      </c>
      <c r="D788" s="35" t="s">
        <v>44</v>
      </c>
      <c r="E788" s="35" t="s">
        <v>34</v>
      </c>
      <c r="F788" s="35" t="s">
        <v>15</v>
      </c>
      <c r="G788" s="35"/>
      <c r="H788" s="37" t="n">
        <f aca="false">IFERROR(VLOOKUP(D788,Settings!$A$5:$C$14,3,FALSE()),"")</f>
        <v>3</v>
      </c>
      <c r="I788" s="37" t="n">
        <f aca="false">IF(C788="","",C788-B788)</f>
        <v>1</v>
      </c>
      <c r="J788" s="38" t="str">
        <f aca="false">IF(I788="","",IF(I788&gt;H788,"Delayed","On Time"))</f>
        <v>On Time</v>
      </c>
      <c r="K788" s="37" t="str">
        <f aca="false">IF(J788="Delayed",I788-H788,"")</f>
        <v/>
      </c>
    </row>
    <row r="789" customFormat="false" ht="15" hidden="false" customHeight="false" outlineLevel="0" collapsed="false">
      <c r="A789" s="35" t="s">
        <v>853</v>
      </c>
      <c r="B789" s="36" t="n">
        <v>46294</v>
      </c>
      <c r="C789" s="36"/>
      <c r="D789" s="35" t="s">
        <v>50</v>
      </c>
      <c r="E789" s="35" t="s">
        <v>35</v>
      </c>
      <c r="F789" s="35" t="s">
        <v>16</v>
      </c>
      <c r="G789" s="35"/>
      <c r="H789" s="37" t="n">
        <f aca="false">IFERROR(VLOOKUP(D789,Settings!$A$5:$C$14,3,FALSE()),"")</f>
        <v>3</v>
      </c>
      <c r="I789" s="37" t="str">
        <f aca="false">IF(C789="","",C789-B789)</f>
        <v/>
      </c>
      <c r="J789" s="38" t="str">
        <f aca="false">IF(I789="","",IF(I789&gt;H789,"Delayed","On Time"))</f>
        <v/>
      </c>
      <c r="K789" s="37" t="str">
        <f aca="false">IF(J789="Delayed",I789-H789,"")</f>
        <v/>
      </c>
    </row>
    <row r="790" customFormat="false" ht="15" hidden="false" customHeight="false" outlineLevel="0" collapsed="false">
      <c r="A790" s="35" t="s">
        <v>854</v>
      </c>
      <c r="B790" s="36" t="n">
        <v>46295</v>
      </c>
      <c r="C790" s="36"/>
      <c r="D790" s="35" t="s">
        <v>50</v>
      </c>
      <c r="E790" s="35" t="s">
        <v>35</v>
      </c>
      <c r="F790" s="35" t="s">
        <v>16</v>
      </c>
      <c r="G790" s="35"/>
      <c r="H790" s="37" t="n">
        <f aca="false">IFERROR(VLOOKUP(D790,Settings!$A$5:$C$14,3,FALSE()),"")</f>
        <v>3</v>
      </c>
      <c r="I790" s="37" t="str">
        <f aca="false">IF(C790="","",C790-B790)</f>
        <v/>
      </c>
      <c r="J790" s="38" t="str">
        <f aca="false">IF(I790="","",IF(I790&gt;H790,"Delayed","On Time"))</f>
        <v/>
      </c>
      <c r="K790" s="37" t="str">
        <f aca="false">IF(J790="Delayed",I790-H790,"")</f>
        <v/>
      </c>
    </row>
    <row r="791" customFormat="false" ht="15" hidden="false" customHeight="false" outlineLevel="0" collapsed="false">
      <c r="A791" s="35" t="s">
        <v>855</v>
      </c>
      <c r="B791" s="36" t="n">
        <v>46295</v>
      </c>
      <c r="C791" s="36" t="n">
        <v>46295</v>
      </c>
      <c r="D791" s="35" t="s">
        <v>50</v>
      </c>
      <c r="E791" s="35" t="s">
        <v>34</v>
      </c>
      <c r="F791" s="35" t="s">
        <v>15</v>
      </c>
      <c r="G791" s="35"/>
      <c r="H791" s="37" t="n">
        <f aca="false">IFERROR(VLOOKUP(D791,Settings!$A$5:$C$14,3,FALSE()),"")</f>
        <v>3</v>
      </c>
      <c r="I791" s="37" t="n">
        <f aca="false">IF(C791="","",C791-B791)</f>
        <v>0</v>
      </c>
      <c r="J791" s="38" t="str">
        <f aca="false">IF(I791="","",IF(I791&gt;H791,"Delayed","On Time"))</f>
        <v>On Time</v>
      </c>
      <c r="K791" s="37" t="str">
        <f aca="false">IF(J791="Delayed",I791-H791,"")</f>
        <v/>
      </c>
    </row>
    <row r="792" customFormat="false" ht="15" hidden="false" customHeight="false" outlineLevel="0" collapsed="false">
      <c r="A792" s="35" t="s">
        <v>856</v>
      </c>
      <c r="B792" s="36" t="n">
        <v>46295</v>
      </c>
      <c r="C792" s="36"/>
      <c r="D792" s="35" t="s">
        <v>55</v>
      </c>
      <c r="E792" s="35" t="s">
        <v>33</v>
      </c>
      <c r="F792" s="35" t="s">
        <v>16</v>
      </c>
      <c r="G792" s="35"/>
      <c r="H792" s="37" t="n">
        <f aca="false">IFERROR(VLOOKUP(D792,Settings!$A$5:$C$14,3,FALSE()),"")</f>
        <v>5</v>
      </c>
      <c r="I792" s="37" t="str">
        <f aca="false">IF(C792="","",C792-B792)</f>
        <v/>
      </c>
      <c r="J792" s="38" t="str">
        <f aca="false">IF(I792="","",IF(I792&gt;H792,"Delayed","On Time"))</f>
        <v/>
      </c>
      <c r="K792" s="37" t="str">
        <f aca="false">IF(J792="Delayed",I792-H792,"")</f>
        <v/>
      </c>
    </row>
    <row r="793" customFormat="false" ht="15" hidden="false" customHeight="false" outlineLevel="0" collapsed="false">
      <c r="A793" s="35" t="s">
        <v>857</v>
      </c>
      <c r="B793" s="36" t="n">
        <v>46295</v>
      </c>
      <c r="C793" s="36" t="n">
        <v>46295</v>
      </c>
      <c r="D793" s="35" t="s">
        <v>50</v>
      </c>
      <c r="E793" s="35" t="s">
        <v>34</v>
      </c>
      <c r="F793" s="35" t="s">
        <v>15</v>
      </c>
      <c r="G793" s="35"/>
      <c r="H793" s="37" t="n">
        <f aca="false">IFERROR(VLOOKUP(D793,Settings!$A$5:$C$14,3,FALSE()),"")</f>
        <v>3</v>
      </c>
      <c r="I793" s="37" t="n">
        <f aca="false">IF(C793="","",C793-B793)</f>
        <v>0</v>
      </c>
      <c r="J793" s="38" t="str">
        <f aca="false">IF(I793="","",IF(I793&gt;H793,"Delayed","On Time"))</f>
        <v>On Time</v>
      </c>
      <c r="K793" s="37" t="str">
        <f aca="false">IF(J793="Delayed",I793-H793,"")</f>
        <v/>
      </c>
    </row>
    <row r="794" customFormat="false" ht="15" hidden="false" customHeight="false" outlineLevel="0" collapsed="false">
      <c r="A794" s="35" t="s">
        <v>858</v>
      </c>
      <c r="B794" s="36" t="n">
        <v>46295</v>
      </c>
      <c r="C794" s="36"/>
      <c r="D794" s="35" t="s">
        <v>44</v>
      </c>
      <c r="E794" s="35" t="s">
        <v>35</v>
      </c>
      <c r="F794" s="35" t="s">
        <v>16</v>
      </c>
      <c r="G794" s="35"/>
      <c r="H794" s="37" t="n">
        <f aca="false">IFERROR(VLOOKUP(D794,Settings!$A$5:$C$14,3,FALSE()),"")</f>
        <v>3</v>
      </c>
      <c r="I794" s="37" t="str">
        <f aca="false">IF(C794="","",C794-B794)</f>
        <v/>
      </c>
      <c r="J794" s="38" t="str">
        <f aca="false">IF(I794="","",IF(I794&gt;H794,"Delayed","On Time"))</f>
        <v/>
      </c>
      <c r="K794" s="37" t="str">
        <f aca="false">IF(J794="Delayed",I794-H794,"")</f>
        <v/>
      </c>
    </row>
    <row r="795" customFormat="false" ht="15" hidden="false" customHeight="false" outlineLevel="0" collapsed="false">
      <c r="A795" s="35" t="s">
        <v>859</v>
      </c>
      <c r="B795" s="36" t="n">
        <v>46295</v>
      </c>
      <c r="C795" s="36"/>
      <c r="D795" s="35" t="s">
        <v>48</v>
      </c>
      <c r="E795" s="35" t="s">
        <v>34</v>
      </c>
      <c r="F795" s="35" t="s">
        <v>16</v>
      </c>
      <c r="G795" s="35"/>
      <c r="H795" s="37" t="n">
        <f aca="false">IFERROR(VLOOKUP(D795,Settings!$A$5:$C$14,3,FALSE()),"")</f>
        <v>3</v>
      </c>
      <c r="I795" s="37" t="str">
        <f aca="false">IF(C795="","",C795-B795)</f>
        <v/>
      </c>
      <c r="J795" s="38" t="str">
        <f aca="false">IF(I795="","",IF(I795&gt;H795,"Delayed","On Time"))</f>
        <v/>
      </c>
      <c r="K795" s="37" t="str">
        <f aca="false">IF(J795="Delayed",I795-H795,"")</f>
        <v/>
      </c>
    </row>
    <row r="796" customFormat="false" ht="15" hidden="false" customHeight="false" outlineLevel="0" collapsed="false">
      <c r="A796" s="35" t="s">
        <v>860</v>
      </c>
      <c r="B796" s="36" t="n">
        <v>46295</v>
      </c>
      <c r="C796" s="36" t="n">
        <v>46295</v>
      </c>
      <c r="D796" s="35" t="s">
        <v>48</v>
      </c>
      <c r="E796" s="35" t="s">
        <v>33</v>
      </c>
      <c r="F796" s="35" t="s">
        <v>15</v>
      </c>
      <c r="G796" s="35"/>
      <c r="H796" s="37" t="n">
        <f aca="false">IFERROR(VLOOKUP(D796,Settings!$A$5:$C$14,3,FALSE()),"")</f>
        <v>3</v>
      </c>
      <c r="I796" s="37" t="n">
        <f aca="false">IF(C796="","",C796-B796)</f>
        <v>0</v>
      </c>
      <c r="J796" s="38" t="str">
        <f aca="false">IF(I796="","",IF(I796&gt;H796,"Delayed","On Time"))</f>
        <v>On Time</v>
      </c>
      <c r="K796" s="37" t="str">
        <f aca="false">IF(J796="Delayed",I796-H796,"")</f>
        <v/>
      </c>
    </row>
    <row r="797" customFormat="false" ht="15" hidden="false" customHeight="false" outlineLevel="0" collapsed="false">
      <c r="A797" s="35" t="s">
        <v>861</v>
      </c>
      <c r="B797" s="36" t="n">
        <v>46295</v>
      </c>
      <c r="C797" s="36"/>
      <c r="D797" s="35" t="s">
        <v>46</v>
      </c>
      <c r="E797" s="35" t="s">
        <v>36</v>
      </c>
      <c r="F797" s="35" t="s">
        <v>16</v>
      </c>
      <c r="G797" s="35"/>
      <c r="H797" s="37" t="n">
        <f aca="false">IFERROR(VLOOKUP(D797,Settings!$A$5:$C$14,3,FALSE()),"")</f>
        <v>3</v>
      </c>
      <c r="I797" s="37" t="str">
        <f aca="false">IF(C797="","",C797-B797)</f>
        <v/>
      </c>
      <c r="J797" s="38" t="str">
        <f aca="false">IF(I797="","",IF(I797&gt;H797,"Delayed","On Time"))</f>
        <v/>
      </c>
      <c r="K797" s="37" t="str">
        <f aca="false">IF(J797="Delayed",I797-H797,"")</f>
        <v/>
      </c>
    </row>
    <row r="798" customFormat="false" ht="15" hidden="false" customHeight="false" outlineLevel="0" collapsed="false">
      <c r="A798" s="35" t="s">
        <v>862</v>
      </c>
      <c r="B798" s="36" t="n">
        <v>46295</v>
      </c>
      <c r="C798" s="36"/>
      <c r="D798" s="35" t="s">
        <v>44</v>
      </c>
      <c r="E798" s="35" t="s">
        <v>33</v>
      </c>
      <c r="F798" s="35" t="s">
        <v>16</v>
      </c>
      <c r="G798" s="35"/>
      <c r="H798" s="37" t="n">
        <f aca="false">IFERROR(VLOOKUP(D798,Settings!$A$5:$C$14,3,FALSE()),"")</f>
        <v>3</v>
      </c>
      <c r="I798" s="37" t="str">
        <f aca="false">IF(C798="","",C798-B798)</f>
        <v/>
      </c>
      <c r="J798" s="38" t="str">
        <f aca="false">IF(I798="","",IF(I798&gt;H798,"Delayed","On Time"))</f>
        <v/>
      </c>
      <c r="K798" s="37" t="str">
        <f aca="false">IF(J798="Delayed",I798-H798,"")</f>
        <v/>
      </c>
    </row>
    <row r="799" customFormat="false" ht="15" hidden="false" customHeight="false" outlineLevel="0" collapsed="false">
      <c r="A799" s="35" t="s">
        <v>863</v>
      </c>
      <c r="B799" s="36" t="n">
        <v>46295</v>
      </c>
      <c r="C799" s="36" t="n">
        <v>46295</v>
      </c>
      <c r="D799" s="35" t="s">
        <v>46</v>
      </c>
      <c r="E799" s="35" t="s">
        <v>33</v>
      </c>
      <c r="F799" s="35" t="s">
        <v>15</v>
      </c>
      <c r="G799" s="35"/>
      <c r="H799" s="37" t="n">
        <f aca="false">IFERROR(VLOOKUP(D799,Settings!$A$5:$C$14,3,FALSE()),"")</f>
        <v>3</v>
      </c>
      <c r="I799" s="37" t="n">
        <f aca="false">IF(C799="","",C799-B799)</f>
        <v>0</v>
      </c>
      <c r="J799" s="38" t="str">
        <f aca="false">IF(I799="","",IF(I799&gt;H799,"Delayed","On Time"))</f>
        <v>On Time</v>
      </c>
      <c r="K799" s="37" t="str">
        <f aca="false">IF(J799="Delayed",I799-H799,"")</f>
        <v/>
      </c>
    </row>
    <row r="800" customFormat="false" ht="15" hidden="false" customHeight="false" outlineLevel="0" collapsed="false">
      <c r="A800" s="35" t="s">
        <v>864</v>
      </c>
      <c r="B800" s="36" t="n">
        <v>46295</v>
      </c>
      <c r="C800" s="36"/>
      <c r="D800" s="35" t="s">
        <v>46</v>
      </c>
      <c r="E800" s="35" t="s">
        <v>33</v>
      </c>
      <c r="F800" s="35" t="s">
        <v>16</v>
      </c>
      <c r="G800" s="35"/>
      <c r="H800" s="37" t="n">
        <f aca="false">IFERROR(VLOOKUP(D800,Settings!$A$5:$C$14,3,FALSE()),"")</f>
        <v>3</v>
      </c>
      <c r="I800" s="37" t="str">
        <f aca="false">IF(C800="","",C800-B800)</f>
        <v/>
      </c>
      <c r="J800" s="38" t="str">
        <f aca="false">IF(I800="","",IF(I800&gt;H800,"Delayed","On Time"))</f>
        <v/>
      </c>
      <c r="K800" s="37" t="str">
        <f aca="false">IF(J800="Delayed",I800-H800,"")</f>
        <v/>
      </c>
    </row>
    <row r="801" customFormat="false" ht="15" hidden="false" customHeight="false" outlineLevel="0" collapsed="false">
      <c r="A801" s="35" t="s">
        <v>865</v>
      </c>
      <c r="B801" s="36" t="n">
        <v>46295</v>
      </c>
      <c r="C801" s="36" t="n">
        <v>46295</v>
      </c>
      <c r="D801" s="35" t="s">
        <v>44</v>
      </c>
      <c r="E801" s="35" t="s">
        <v>34</v>
      </c>
      <c r="F801" s="35" t="s">
        <v>17</v>
      </c>
      <c r="G801" s="35" t="s">
        <v>49</v>
      </c>
      <c r="H801" s="37" t="n">
        <f aca="false">IFERROR(VLOOKUP(D801,Settings!$A$5:$C$14,3,FALSE()),"")</f>
        <v>3</v>
      </c>
      <c r="I801" s="37" t="n">
        <f aca="false">IF(C801="","",C801-B801)</f>
        <v>0</v>
      </c>
      <c r="J801" s="38" t="str">
        <f aca="false">IF(I801="","",IF(I801&gt;H801,"Delayed","On Time"))</f>
        <v>On Time</v>
      </c>
      <c r="K801" s="37" t="str">
        <f aca="false">IF(J801="Delayed",I801-H801,"")</f>
        <v/>
      </c>
    </row>
  </sheetData>
  <autoFilter ref="A1:K801"/>
  <conditionalFormatting sqref="J2:J801">
    <cfRule type="cellIs" priority="2" operator="equal" aboveAverage="0" equalAverage="0" bottom="0" percent="0" rank="0" text="" dxfId="7">
      <formula>"Delayed"</formula>
    </cfRule>
    <cfRule type="cellIs" priority="3" operator="equal" aboveAverage="0" equalAverage="0" bottom="0" percent="0" rank="0" text="" dxfId="8">
      <formula>"On Time"</formula>
    </cfRule>
  </conditionalFormatting>
  <conditionalFormatting sqref="F2:F801">
    <cfRule type="cellIs" priority="4" operator="equal" aboveAverage="0" equalAverage="0" bottom="0" percent="0" rank="0" text="" dxfId="7">
      <formula>"RTO"</formula>
    </cfRule>
    <cfRule type="cellIs" priority="5" operator="equal" aboveAverage="0" equalAverage="0" bottom="0" percent="0" rank="0" text="" dxfId="9">
      <formula>"In Transit"</formula>
    </cfRule>
  </conditionalFormatting>
  <dataValidations count="4">
    <dataValidation allowBlank="true" errorStyle="stop" operator="between" showDropDown="false" showErrorMessage="false" showInputMessage="false" sqref="D2:D801" type="list">
      <formula1>Settings!$A$5:$A$14</formula1>
      <formula2>0</formula2>
    </dataValidation>
    <dataValidation allowBlank="true" errorStyle="stop" operator="between" showDropDown="false" showErrorMessage="false" showInputMessage="false" sqref="E2:E801" type="list">
      <formula1>Settings!$I$5:$I$8</formula1>
      <formula2>0</formula2>
    </dataValidation>
    <dataValidation allowBlank="true" errorStyle="stop" operator="between" showDropDown="false" showErrorMessage="false" showInputMessage="false" sqref="F2:F801" type="list">
      <formula1>Settings!$E$5:$E$8</formula1>
      <formula2>0</formula2>
    </dataValidation>
    <dataValidation allowBlank="true" errorStyle="stop" operator="between" showDropDown="false" showErrorMessage="false" showInputMessage="false" sqref="G2:G801" type="list">
      <formula1>Settings!$G$5:$G$9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3"/>
    <col collapsed="false" customWidth="true" hidden="false" outlineLevel="0" max="5" min="5" style="0" width="14"/>
    <col collapsed="false" customWidth="true" hidden="false" outlineLevel="0" max="6" min="6" style="0" width="3"/>
    <col collapsed="false" customWidth="true" hidden="false" outlineLevel="0" max="7" min="7" style="0" width="26"/>
    <col collapsed="false" customWidth="true" hidden="false" outlineLevel="0" max="8" min="8" style="0" width="3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39" t="s">
        <v>866</v>
      </c>
    </row>
    <row r="2" customFormat="false" ht="15" hidden="false" customHeight="false" outlineLevel="0" collapsed="false">
      <c r="A2" s="25" t="s">
        <v>867</v>
      </c>
    </row>
    <row r="4" customFormat="false" ht="15" hidden="false" customHeight="false" outlineLevel="0" collapsed="false">
      <c r="A4" s="31" t="s">
        <v>40</v>
      </c>
      <c r="B4" s="31" t="s">
        <v>868</v>
      </c>
      <c r="C4" s="31" t="s">
        <v>62</v>
      </c>
      <c r="E4" s="31" t="s">
        <v>869</v>
      </c>
      <c r="G4" s="31" t="s">
        <v>9</v>
      </c>
      <c r="I4" s="31" t="s">
        <v>870</v>
      </c>
    </row>
    <row r="5" customFormat="false" ht="15" hidden="false" customHeight="false" outlineLevel="0" collapsed="false">
      <c r="A5" s="40" t="s">
        <v>44</v>
      </c>
      <c r="B5" s="40" t="s">
        <v>871</v>
      </c>
      <c r="C5" s="40" t="n">
        <v>3</v>
      </c>
      <c r="E5" s="40" t="s">
        <v>15</v>
      </c>
      <c r="G5" s="40" t="s">
        <v>43</v>
      </c>
      <c r="I5" s="40" t="s">
        <v>33</v>
      </c>
    </row>
    <row r="6" customFormat="false" ht="15" hidden="false" customHeight="false" outlineLevel="0" collapsed="false">
      <c r="A6" s="40" t="s">
        <v>46</v>
      </c>
      <c r="B6" s="40" t="s">
        <v>871</v>
      </c>
      <c r="C6" s="40" t="n">
        <v>3</v>
      </c>
      <c r="E6" s="40" t="s">
        <v>16</v>
      </c>
      <c r="G6" s="40" t="s">
        <v>45</v>
      </c>
      <c r="I6" s="40" t="s">
        <v>34</v>
      </c>
    </row>
    <row r="7" customFormat="false" ht="15" hidden="false" customHeight="false" outlineLevel="0" collapsed="false">
      <c r="A7" s="40" t="s">
        <v>48</v>
      </c>
      <c r="B7" s="40" t="s">
        <v>871</v>
      </c>
      <c r="C7" s="40" t="n">
        <v>3</v>
      </c>
      <c r="E7" s="40" t="s">
        <v>17</v>
      </c>
      <c r="G7" s="40" t="s">
        <v>47</v>
      </c>
      <c r="I7" s="40" t="s">
        <v>35</v>
      </c>
    </row>
    <row r="8" customFormat="false" ht="15" hidden="false" customHeight="false" outlineLevel="0" collapsed="false">
      <c r="A8" s="40" t="s">
        <v>50</v>
      </c>
      <c r="B8" s="40" t="s">
        <v>871</v>
      </c>
      <c r="C8" s="40" t="n">
        <v>3</v>
      </c>
      <c r="E8" s="40" t="s">
        <v>18</v>
      </c>
      <c r="G8" s="40" t="s">
        <v>49</v>
      </c>
      <c r="I8" s="40" t="s">
        <v>36</v>
      </c>
    </row>
    <row r="9" customFormat="false" ht="15" hidden="false" customHeight="false" outlineLevel="0" collapsed="false">
      <c r="A9" s="40" t="s">
        <v>52</v>
      </c>
      <c r="B9" s="40" t="s">
        <v>871</v>
      </c>
      <c r="C9" s="40" t="n">
        <v>4</v>
      </c>
      <c r="G9" s="40" t="s">
        <v>51</v>
      </c>
    </row>
    <row r="10" customFormat="false" ht="15" hidden="false" customHeight="false" outlineLevel="0" collapsed="false">
      <c r="A10" s="40" t="s">
        <v>53</v>
      </c>
      <c r="B10" s="40" t="s">
        <v>872</v>
      </c>
      <c r="C10" s="40" t="n">
        <v>5</v>
      </c>
    </row>
    <row r="11" customFormat="false" ht="15" hidden="false" customHeight="false" outlineLevel="0" collapsed="false">
      <c r="A11" s="40" t="s">
        <v>54</v>
      </c>
      <c r="B11" s="40" t="s">
        <v>872</v>
      </c>
      <c r="C11" s="40" t="n">
        <v>5</v>
      </c>
    </row>
    <row r="12" customFormat="false" ht="15" hidden="false" customHeight="false" outlineLevel="0" collapsed="false">
      <c r="A12" s="40" t="s">
        <v>55</v>
      </c>
      <c r="B12" s="40" t="s">
        <v>872</v>
      </c>
      <c r="C12" s="40" t="n">
        <v>5</v>
      </c>
    </row>
    <row r="13" customFormat="false" ht="15" hidden="false" customHeight="false" outlineLevel="0" collapsed="false">
      <c r="A13" s="40" t="s">
        <v>56</v>
      </c>
      <c r="B13" s="40" t="s">
        <v>872</v>
      </c>
      <c r="C13" s="40" t="n">
        <v>6</v>
      </c>
    </row>
    <row r="14" customFormat="false" ht="15" hidden="false" customHeight="false" outlineLevel="0" collapsed="false">
      <c r="A14" s="40" t="s">
        <v>57</v>
      </c>
      <c r="B14" s="40" t="s">
        <v>873</v>
      </c>
      <c r="C14" s="4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41" t="s">
        <v>874</v>
      </c>
    </row>
    <row r="2" customFormat="false" ht="15" hidden="false" customHeight="false" outlineLevel="0" collapsed="false">
      <c r="A2" s="42"/>
    </row>
    <row r="3" customFormat="false" ht="15" hidden="false" customHeight="false" outlineLevel="0" collapsed="false">
      <c r="A3" s="42" t="s">
        <v>875</v>
      </c>
    </row>
    <row r="4" customFormat="false" ht="15" hidden="false" customHeight="false" outlineLevel="0" collapsed="false">
      <c r="A4" s="42" t="s">
        <v>876</v>
      </c>
    </row>
    <row r="5" customFormat="false" ht="15" hidden="false" customHeight="false" outlineLevel="0" collapsed="false">
      <c r="A5" s="42"/>
    </row>
    <row r="6" customFormat="false" ht="15" hidden="false" customHeight="false" outlineLevel="0" collapsed="false">
      <c r="A6" s="43" t="s">
        <v>877</v>
      </c>
    </row>
    <row r="7" customFormat="false" ht="15" hidden="false" customHeight="false" outlineLevel="0" collapsed="false">
      <c r="A7" s="42" t="s">
        <v>878</v>
      </c>
    </row>
    <row r="8" customFormat="false" ht="15" hidden="false" customHeight="false" outlineLevel="0" collapsed="false">
      <c r="A8" s="42" t="s">
        <v>879</v>
      </c>
    </row>
    <row r="9" customFormat="false" ht="15" hidden="false" customHeight="false" outlineLevel="0" collapsed="false">
      <c r="A9" s="42" t="s">
        <v>880</v>
      </c>
    </row>
    <row r="10" customFormat="false" ht="15" hidden="false" customHeight="false" outlineLevel="0" collapsed="false">
      <c r="A10" s="42" t="s">
        <v>881</v>
      </c>
    </row>
    <row r="11" customFormat="false" ht="15" hidden="false" customHeight="false" outlineLevel="0" collapsed="false">
      <c r="A11" s="42"/>
    </row>
    <row r="12" customFormat="false" ht="15" hidden="false" customHeight="false" outlineLevel="0" collapsed="false">
      <c r="A12" s="42" t="s">
        <v>882</v>
      </c>
    </row>
    <row r="13" customFormat="false" ht="15" hidden="false" customHeight="false" outlineLevel="0" collapsed="false">
      <c r="A13" s="42" t="s">
        <v>883</v>
      </c>
    </row>
    <row r="14" customFormat="false" ht="15" hidden="false" customHeight="false" outlineLevel="0" collapsed="false">
      <c r="A14" s="42" t="s">
        <v>884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2026-10-03T11:14:00Z</dcterms:created>
  <dc:creator>openpyxl</dc:creator>
  <dc:description/>
  <dc:language>en-US</dc:language>
  <cp:lastModifiedBy/>
  <dcterms:modified xsi:type="dcterms:W3CDTF">2026-10-03T11:14:03Z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